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BuÇalışmaKitabı" defaultThemeVersion="153222"/>
  <mc:AlternateContent xmlns:mc="http://schemas.openxmlformats.org/markup-compatibility/2006">
    <mc:Choice Requires="x15">
      <x15ac:absPath xmlns:x15ac="http://schemas.microsoft.com/office/spreadsheetml/2010/11/ac" url="C:\Users\ibrahim.dogus\Documents\Visual Studio 2017\BilgeAdam\Projeler\PASTR_Intranet_R2\PASTR_Intranet\App_Data\"/>
    </mc:Choice>
  </mc:AlternateContent>
  <bookViews>
    <workbookView xWindow="0" yWindow="0" windowWidth="16380" windowHeight="8190" tabRatio="500"/>
  </bookViews>
  <sheets>
    <sheet name="AylikTablo" sheetId="1" r:id="rId1"/>
    <sheet name="Data" sheetId="2" r:id="rId2"/>
    <sheet name="Kaloriler" sheetId="3" r:id="rId3"/>
  </sheets>
  <definedNames>
    <definedName name="_xlnm._FilterDatabase" localSheetId="2" hidden="1">Kaloriler!$A$1:$B$186</definedName>
  </definedNames>
  <calcPr calcId="152511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2" i="1" l="1"/>
  <c r="H12" i="1" s="1"/>
  <c r="J12" i="1" s="1"/>
  <c r="L12" i="1" s="1"/>
  <c r="N12" i="1" s="1"/>
  <c r="B18" i="1" s="1"/>
  <c r="D18" i="1" s="1"/>
  <c r="F18" i="1" s="1"/>
  <c r="H18" i="1" s="1"/>
  <c r="J18" i="1" s="1"/>
  <c r="L18" i="1" s="1"/>
  <c r="N18" i="1" s="1"/>
  <c r="B24" i="1" s="1"/>
  <c r="D24" i="1" s="1"/>
  <c r="F24" i="1" s="1"/>
  <c r="H24" i="1" s="1"/>
  <c r="J24" i="1" s="1"/>
  <c r="L24" i="1" s="1"/>
  <c r="N24" i="1" s="1"/>
  <c r="B30" i="1" s="1"/>
  <c r="D30" i="1" s="1"/>
  <c r="F30" i="1" s="1"/>
  <c r="H30" i="1" s="1"/>
  <c r="J30" i="1" s="1"/>
  <c r="D12" i="1"/>
  <c r="J6" i="1"/>
  <c r="L6" i="1"/>
  <c r="N6" i="1" s="1"/>
  <c r="B12" i="1" s="1"/>
  <c r="J34" i="1" l="1"/>
  <c r="K34" i="1" s="1"/>
  <c r="J33" i="1"/>
  <c r="K33" i="1" s="1"/>
  <c r="L30" i="1"/>
  <c r="J32" i="1"/>
  <c r="K32" i="1" s="1"/>
  <c r="J35" i="1"/>
  <c r="K35" i="1" s="1"/>
  <c r="J31" i="1"/>
  <c r="K31" i="1" s="1"/>
  <c r="N41" i="1"/>
  <c r="N40" i="1"/>
  <c r="N39" i="1"/>
  <c r="O39" i="1" s="1"/>
  <c r="N38" i="1"/>
  <c r="O38" i="1" s="1"/>
  <c r="N37" i="1"/>
  <c r="L41" i="1"/>
  <c r="L40" i="1"/>
  <c r="M40" i="1" s="1"/>
  <c r="L39" i="1"/>
  <c r="M39" i="1" s="1"/>
  <c r="L38" i="1"/>
  <c r="M38" i="1" s="1"/>
  <c r="L37" i="1"/>
  <c r="M37" i="1" s="1"/>
  <c r="J41" i="1"/>
  <c r="K41" i="1" s="1"/>
  <c r="J40" i="1"/>
  <c r="K40" i="1" s="1"/>
  <c r="J39" i="1"/>
  <c r="K39" i="1" s="1"/>
  <c r="J38" i="1"/>
  <c r="K38" i="1" s="1"/>
  <c r="J37" i="1"/>
  <c r="K37" i="1" s="1"/>
  <c r="H41" i="1"/>
  <c r="I41" i="1" s="1"/>
  <c r="H40" i="1"/>
  <c r="I40" i="1" s="1"/>
  <c r="H39" i="1"/>
  <c r="I39" i="1" s="1"/>
  <c r="H38" i="1"/>
  <c r="I38" i="1" s="1"/>
  <c r="H37" i="1"/>
  <c r="I37" i="1" s="1"/>
  <c r="B35" i="1"/>
  <c r="B34" i="1"/>
  <c r="C34" i="1" s="1"/>
  <c r="B33" i="1"/>
  <c r="B32" i="1"/>
  <c r="C32" i="1" s="1"/>
  <c r="B31" i="1"/>
  <c r="C31" i="1" s="1"/>
  <c r="D35" i="1"/>
  <c r="E35" i="1" s="1"/>
  <c r="D34" i="1"/>
  <c r="E34" i="1" s="1"/>
  <c r="D33" i="1"/>
  <c r="E33" i="1" s="1"/>
  <c r="D32" i="1"/>
  <c r="D31" i="1"/>
  <c r="E31" i="1" s="1"/>
  <c r="F35" i="1"/>
  <c r="F34" i="1"/>
  <c r="G34" i="1" s="1"/>
  <c r="F33" i="1"/>
  <c r="G33" i="1" s="1"/>
  <c r="F32" i="1"/>
  <c r="F31" i="1"/>
  <c r="G31" i="1" s="1"/>
  <c r="H35" i="1"/>
  <c r="I35" i="1" s="1"/>
  <c r="H34" i="1"/>
  <c r="I34" i="1" s="1"/>
  <c r="H33" i="1"/>
  <c r="I33" i="1" s="1"/>
  <c r="H32" i="1"/>
  <c r="H31" i="1"/>
  <c r="I31" i="1" s="1"/>
  <c r="N29" i="1"/>
  <c r="O29" i="1" s="1"/>
  <c r="N28" i="1"/>
  <c r="O28" i="1" s="1"/>
  <c r="N27" i="1"/>
  <c r="N26" i="1"/>
  <c r="N25" i="1"/>
  <c r="O25" i="1" s="1"/>
  <c r="L29" i="1"/>
  <c r="M29" i="1" s="1"/>
  <c r="L28" i="1"/>
  <c r="M28" i="1" s="1"/>
  <c r="L27" i="1"/>
  <c r="L26" i="1"/>
  <c r="M26" i="1" s="1"/>
  <c r="L25" i="1"/>
  <c r="J29" i="1"/>
  <c r="K29" i="1" s="1"/>
  <c r="J28" i="1"/>
  <c r="J27" i="1"/>
  <c r="K27" i="1" s="1"/>
  <c r="J26" i="1"/>
  <c r="J25" i="1"/>
  <c r="H29" i="1"/>
  <c r="I29" i="1" s="1"/>
  <c r="H28" i="1"/>
  <c r="I28" i="1" s="1"/>
  <c r="H27" i="1"/>
  <c r="H26" i="1"/>
  <c r="H25" i="1"/>
  <c r="F29" i="1"/>
  <c r="G29" i="1" s="1"/>
  <c r="F28" i="1"/>
  <c r="F27" i="1"/>
  <c r="G27" i="1" s="1"/>
  <c r="F26" i="1"/>
  <c r="F25" i="1"/>
  <c r="G25" i="1" s="1"/>
  <c r="D29" i="1"/>
  <c r="E29" i="1" s="1"/>
  <c r="D28" i="1"/>
  <c r="E28" i="1" s="1"/>
  <c r="D27" i="1"/>
  <c r="D26" i="1"/>
  <c r="E26" i="1" s="1"/>
  <c r="D25" i="1"/>
  <c r="E25" i="1" s="1"/>
  <c r="B29" i="1"/>
  <c r="C29" i="1" s="1"/>
  <c r="B28" i="1"/>
  <c r="C28" i="1" s="1"/>
  <c r="B27" i="1"/>
  <c r="C27" i="1" s="1"/>
  <c r="B26" i="1"/>
  <c r="B25" i="1"/>
  <c r="N23" i="1"/>
  <c r="O23" i="1" s="1"/>
  <c r="N22" i="1"/>
  <c r="O22" i="1" s="1"/>
  <c r="N21" i="1"/>
  <c r="N20" i="1"/>
  <c r="N19" i="1"/>
  <c r="O19" i="1" s="1"/>
  <c r="L23" i="1"/>
  <c r="M23" i="1" s="1"/>
  <c r="L22" i="1"/>
  <c r="M22" i="1" s="1"/>
  <c r="L21" i="1"/>
  <c r="L20" i="1"/>
  <c r="M20" i="1" s="1"/>
  <c r="L19" i="1"/>
  <c r="M19" i="1" s="1"/>
  <c r="J23" i="1"/>
  <c r="K23" i="1" s="1"/>
  <c r="J22" i="1"/>
  <c r="K22" i="1" s="1"/>
  <c r="J21" i="1"/>
  <c r="K21" i="1" s="1"/>
  <c r="J20" i="1"/>
  <c r="K20" i="1" s="1"/>
  <c r="J19" i="1"/>
  <c r="K19" i="1" s="1"/>
  <c r="H23" i="1"/>
  <c r="I23" i="1" s="1"/>
  <c r="H22" i="1"/>
  <c r="H21" i="1"/>
  <c r="I21" i="1" s="1"/>
  <c r="H20" i="1"/>
  <c r="H19" i="1"/>
  <c r="F23" i="1"/>
  <c r="F22" i="1"/>
  <c r="G22" i="1" s="1"/>
  <c r="F21" i="1"/>
  <c r="G21" i="1" s="1"/>
  <c r="F20" i="1"/>
  <c r="F19" i="1"/>
  <c r="G19" i="1" s="1"/>
  <c r="D23" i="1"/>
  <c r="E23" i="1" s="1"/>
  <c r="D22" i="1"/>
  <c r="E22" i="1" s="1"/>
  <c r="D21" i="1"/>
  <c r="E21" i="1" s="1"/>
  <c r="D20" i="1"/>
  <c r="D19" i="1"/>
  <c r="E19" i="1" s="1"/>
  <c r="B23" i="1"/>
  <c r="B22" i="1"/>
  <c r="C22" i="1" s="1"/>
  <c r="B21" i="1"/>
  <c r="B20" i="1"/>
  <c r="C20" i="1" s="1"/>
  <c r="B19" i="1"/>
  <c r="C19" i="1" s="1"/>
  <c r="N17" i="1"/>
  <c r="O17" i="1" s="1"/>
  <c r="N16" i="1"/>
  <c r="O16" i="1" s="1"/>
  <c r="N15" i="1"/>
  <c r="O15" i="1" s="1"/>
  <c r="N14" i="1"/>
  <c r="N13" i="1"/>
  <c r="L17" i="1"/>
  <c r="L16" i="1"/>
  <c r="M16" i="1" s="1"/>
  <c r="L15" i="1"/>
  <c r="M15" i="1" s="1"/>
  <c r="L14" i="1"/>
  <c r="L13" i="1"/>
  <c r="J17" i="1"/>
  <c r="K17" i="1" s="1"/>
  <c r="J16" i="1"/>
  <c r="K16" i="1" s="1"/>
  <c r="J15" i="1"/>
  <c r="J14" i="1"/>
  <c r="K14" i="1" s="1"/>
  <c r="J13" i="1"/>
  <c r="K13" i="1" s="1"/>
  <c r="H17" i="1"/>
  <c r="H16" i="1"/>
  <c r="I16" i="1" s="1"/>
  <c r="H15" i="1"/>
  <c r="H14" i="1"/>
  <c r="I14" i="1" s="1"/>
  <c r="H13" i="1"/>
  <c r="I13" i="1" s="1"/>
  <c r="F17" i="1"/>
  <c r="G17" i="1" s="1"/>
  <c r="F16" i="1"/>
  <c r="F15" i="1"/>
  <c r="G15" i="1" s="1"/>
  <c r="F14" i="1"/>
  <c r="F13" i="1"/>
  <c r="G13" i="1" s="1"/>
  <c r="B17" i="1"/>
  <c r="C17" i="1" s="1"/>
  <c r="B16" i="1"/>
  <c r="C16" i="1" s="1"/>
  <c r="B15" i="1"/>
  <c r="C15" i="1" s="1"/>
  <c r="B14" i="1"/>
  <c r="B13" i="1"/>
  <c r="C13" i="1" s="1"/>
  <c r="D17" i="1"/>
  <c r="E17" i="1" s="1"/>
  <c r="D16" i="1"/>
  <c r="E16" i="1" s="1"/>
  <c r="D15" i="1"/>
  <c r="D14" i="1"/>
  <c r="D13" i="1"/>
  <c r="E13" i="1" s="1"/>
  <c r="D11" i="1"/>
  <c r="D10" i="1"/>
  <c r="D9" i="1"/>
  <c r="D8" i="1"/>
  <c r="E8" i="1" s="1"/>
  <c r="D7" i="1"/>
  <c r="N11" i="1"/>
  <c r="O11" i="1" s="1"/>
  <c r="N10" i="1"/>
  <c r="O10" i="1" s="1"/>
  <c r="N9" i="1"/>
  <c r="O9" i="1" s="1"/>
  <c r="N8" i="1"/>
  <c r="N7" i="1"/>
  <c r="L11" i="1"/>
  <c r="M11" i="1" s="1"/>
  <c r="L10" i="1"/>
  <c r="M10" i="1" s="1"/>
  <c r="L9" i="1"/>
  <c r="L8" i="1"/>
  <c r="L7" i="1"/>
  <c r="J11" i="1"/>
  <c r="K11" i="1" s="1"/>
  <c r="J10" i="1"/>
  <c r="K10" i="1" s="1"/>
  <c r="J9" i="1"/>
  <c r="J8" i="1"/>
  <c r="J7" i="1"/>
  <c r="K7" i="1" s="1"/>
  <c r="H11" i="1"/>
  <c r="I11" i="1" s="1"/>
  <c r="H10" i="1"/>
  <c r="I10" i="1" s="1"/>
  <c r="H9" i="1"/>
  <c r="I9" i="1" s="1"/>
  <c r="H8" i="1"/>
  <c r="I8" i="1" s="1"/>
  <c r="H7" i="1"/>
  <c r="F11" i="1"/>
  <c r="G11" i="1" s="1"/>
  <c r="F10" i="1"/>
  <c r="G10" i="1" s="1"/>
  <c r="F9" i="1"/>
  <c r="G9" i="1" s="1"/>
  <c r="F8" i="1"/>
  <c r="G8" i="1" s="1"/>
  <c r="F7" i="1"/>
  <c r="G7" i="1" s="1"/>
  <c r="B11" i="1"/>
  <c r="C11" i="1" s="1"/>
  <c r="B10" i="1"/>
  <c r="C10" i="1" s="1"/>
  <c r="B9" i="1"/>
  <c r="C9" i="1" s="1"/>
  <c r="B8" i="1"/>
  <c r="C8" i="1" s="1"/>
  <c r="B7" i="1"/>
  <c r="C7" i="1" s="1"/>
  <c r="N30" i="1" l="1"/>
  <c r="L33" i="1"/>
  <c r="M33" i="1" s="1"/>
  <c r="L32" i="1"/>
  <c r="M32" i="1" s="1"/>
  <c r="L35" i="1"/>
  <c r="M35" i="1" s="1"/>
  <c r="L31" i="1"/>
  <c r="M31" i="1" s="1"/>
  <c r="L34" i="1"/>
  <c r="M34" i="1" s="1"/>
  <c r="K8" i="1"/>
  <c r="M7" i="1"/>
  <c r="E9" i="1"/>
  <c r="E14" i="1"/>
  <c r="G16" i="1"/>
  <c r="I15" i="1"/>
  <c r="M13" i="1"/>
  <c r="M17" i="1"/>
  <c r="C21" i="1"/>
  <c r="E20" i="1"/>
  <c r="G23" i="1"/>
  <c r="I22" i="1"/>
  <c r="E27" i="1"/>
  <c r="G26" i="1"/>
  <c r="I25" i="1"/>
  <c r="K28" i="1"/>
  <c r="M27" i="1"/>
  <c r="O26" i="1"/>
  <c r="I32" i="1"/>
  <c r="G35" i="1"/>
  <c r="C33" i="1"/>
  <c r="M41" i="1"/>
  <c r="O40" i="1"/>
  <c r="K9" i="1"/>
  <c r="M8" i="1"/>
  <c r="O7" i="1"/>
  <c r="E10" i="1"/>
  <c r="E15" i="1"/>
  <c r="C14" i="1"/>
  <c r="K15" i="1"/>
  <c r="M14" i="1"/>
  <c r="O13" i="1"/>
  <c r="G20" i="1"/>
  <c r="I19" i="1"/>
  <c r="M21" i="1"/>
  <c r="O20" i="1"/>
  <c r="C25" i="1"/>
  <c r="I26" i="1"/>
  <c r="K25" i="1"/>
  <c r="O27" i="1"/>
  <c r="G32" i="1"/>
  <c r="O37" i="1"/>
  <c r="O41" i="1"/>
  <c r="I7" i="1"/>
  <c r="M9" i="1"/>
  <c r="O8" i="1"/>
  <c r="E7" i="1"/>
  <c r="E11" i="1"/>
  <c r="G14" i="1"/>
  <c r="I17" i="1"/>
  <c r="O14" i="1"/>
  <c r="C23" i="1"/>
  <c r="I20" i="1"/>
  <c r="O21" i="1"/>
  <c r="C26" i="1"/>
  <c r="G28" i="1"/>
  <c r="I27" i="1"/>
  <c r="K26" i="1"/>
  <c r="M25" i="1"/>
  <c r="E32" i="1"/>
  <c r="C35" i="1"/>
  <c r="N32" i="1" l="1"/>
  <c r="O32" i="1" s="1"/>
  <c r="N35" i="1"/>
  <c r="O35" i="1" s="1"/>
  <c r="N31" i="1"/>
  <c r="O31" i="1" s="1"/>
  <c r="N34" i="1"/>
  <c r="O34" i="1" s="1"/>
  <c r="N33" i="1"/>
  <c r="O33" i="1" s="1"/>
</calcChain>
</file>

<file path=xl/sharedStrings.xml><?xml version="1.0" encoding="utf-8"?>
<sst xmlns="http://schemas.openxmlformats.org/spreadsheetml/2006/main" count="841" uniqueCount="215">
  <si>
    <t>UYGULAMA ALANI: PAS SOUTH</t>
  </si>
  <si>
    <t>PAZARTESİ</t>
  </si>
  <si>
    <t xml:space="preserve">SALI </t>
  </si>
  <si>
    <t>ÇARŞAMBA</t>
  </si>
  <si>
    <t>PERŞEMBE</t>
  </si>
  <si>
    <t>CUMA</t>
  </si>
  <si>
    <t>CUMARTESİ</t>
  </si>
  <si>
    <t>PAZAR</t>
  </si>
  <si>
    <t>Cal.</t>
  </si>
  <si>
    <t>Nazlıgöl Çorba</t>
  </si>
  <si>
    <t>Sebze Ezme Çorba</t>
  </si>
  <si>
    <t>Baharatlı Piliç Tava</t>
  </si>
  <si>
    <t>Makarna</t>
  </si>
  <si>
    <t>Yoğurt</t>
  </si>
  <si>
    <t>Prenses Çorba</t>
  </si>
  <si>
    <t>Antep Çorba</t>
  </si>
  <si>
    <t>Düğün Çorba</t>
  </si>
  <si>
    <t>Naneli Domates Çorba</t>
  </si>
  <si>
    <t>Adana Çorba</t>
  </si>
  <si>
    <t>Mantar Çorba</t>
  </si>
  <si>
    <t>Etli Kuru Fasulye</t>
  </si>
  <si>
    <t>Soya Soslu Piliç</t>
  </si>
  <si>
    <t>Mengen Musakka</t>
  </si>
  <si>
    <t>Ekşili Köfte</t>
  </si>
  <si>
    <t>Sebzeli Barbunya</t>
  </si>
  <si>
    <t>Meyhane Pilavı</t>
  </si>
  <si>
    <t>Erişte Makarna</t>
  </si>
  <si>
    <t>Makarna/Peynir Garni</t>
  </si>
  <si>
    <t>Bulgur Pilavı</t>
  </si>
  <si>
    <t>Supangle</t>
  </si>
  <si>
    <t>Mevsim Salata</t>
  </si>
  <si>
    <t>Ballı Balım</t>
  </si>
  <si>
    <t>Yedigün</t>
  </si>
  <si>
    <t>Tavuk Göğsü</t>
  </si>
  <si>
    <t>Meyve</t>
  </si>
  <si>
    <t>Alaca Çorba</t>
  </si>
  <si>
    <t>Tarhana Çorba</t>
  </si>
  <si>
    <t>Toyga Çorba</t>
  </si>
  <si>
    <t>Yayla Çorba</t>
  </si>
  <si>
    <t>Gemici Nohut</t>
  </si>
  <si>
    <t>Kadınbudu Köfte/Püre</t>
  </si>
  <si>
    <t>Arnavut Ciğeri</t>
  </si>
  <si>
    <t>Kilis Tava</t>
  </si>
  <si>
    <t>Maraş Usulü Sulu Köfte</t>
  </si>
  <si>
    <t>Makarna/Ketçap</t>
  </si>
  <si>
    <t>Baklava</t>
  </si>
  <si>
    <t>Kalburabastı</t>
  </si>
  <si>
    <t>Keşkül</t>
  </si>
  <si>
    <t>Peynir Tatlısı</t>
  </si>
  <si>
    <t>Taneli Sebze Çorba</t>
  </si>
  <si>
    <t>Mercimek Çorba</t>
  </si>
  <si>
    <t>Antibiyotik Çorba</t>
  </si>
  <si>
    <t>Mısır Çorba</t>
  </si>
  <si>
    <t>Gemici Kuru Fasulye</t>
  </si>
  <si>
    <t>Etli Sebze Güveç</t>
  </si>
  <si>
    <t>İzmir Köfte</t>
  </si>
  <si>
    <t>Tahin Helva</t>
  </si>
  <si>
    <t>Sütlaç</t>
  </si>
  <si>
    <t>Rokalı Yeşil Salata</t>
  </si>
  <si>
    <t>Çerkez Çorba</t>
  </si>
  <si>
    <t>Sahan Köfte</t>
  </si>
  <si>
    <t>Etli Nohut</t>
  </si>
  <si>
    <t>Hasanpaşa Köfte</t>
  </si>
  <si>
    <t>Pirinçli Ispanak</t>
  </si>
  <si>
    <t>Pirinç Pilavı</t>
  </si>
  <si>
    <t>Erişte Makarna/Peynir Garni</t>
  </si>
  <si>
    <t>Turşu</t>
  </si>
  <si>
    <t>Tavuksuyu Çorba</t>
  </si>
  <si>
    <t>Tarih</t>
  </si>
  <si>
    <t>Yemek</t>
  </si>
  <si>
    <t>Yemek1</t>
  </si>
  <si>
    <t>Yemek2</t>
  </si>
  <si>
    <t>Yemek3</t>
  </si>
  <si>
    <t>Yemek4</t>
  </si>
  <si>
    <t>Yemek5</t>
  </si>
  <si>
    <t>Etli Patates</t>
  </si>
  <si>
    <t>Şehriyeli Prinç Pilavı</t>
  </si>
  <si>
    <t>Şakerpare</t>
  </si>
  <si>
    <t>Kalori</t>
  </si>
  <si>
    <t>Mısırlı Yeşil Salata</t>
  </si>
  <si>
    <t>Cacık</t>
  </si>
  <si>
    <t>Kıymalı Lahana Dolma</t>
  </si>
  <si>
    <t>Et Döner/Elma Dilim Patates</t>
  </si>
  <si>
    <t>Sarıkız Pilavı</t>
  </si>
  <si>
    <t>Yoğurtlu Erişte Çorba</t>
  </si>
  <si>
    <t>Tavuklu Abant Yemeği</t>
  </si>
  <si>
    <t>Peynirli Su Böreği</t>
  </si>
  <si>
    <t>Kaşarlı Domates Çorbası</t>
  </si>
  <si>
    <t>Uskumru Izgara/Fırın Patates</t>
  </si>
  <si>
    <t>Kıymalı Taze Fasulye</t>
  </si>
  <si>
    <t>Komposto</t>
  </si>
  <si>
    <t>Piliç Sinitzel/Küp Patates</t>
  </si>
  <si>
    <t>Ispanaklı Limon Soslu Piliç/Şefin Püre</t>
  </si>
  <si>
    <t>Ayran</t>
  </si>
  <si>
    <t>Kuru Fasulye</t>
  </si>
  <si>
    <t>Köy Usulü Taze Fasulye</t>
  </si>
  <si>
    <t>Karışık Izgara/Elma Dilim Patates</t>
  </si>
  <si>
    <t>Frambuaz Soslu Trileçe</t>
  </si>
  <si>
    <t>Yılbaşı</t>
  </si>
  <si>
    <t>Yeni</t>
  </si>
  <si>
    <t>Yılınız</t>
  </si>
  <si>
    <t>Kutlu</t>
  </si>
  <si>
    <t>Olsun</t>
  </si>
  <si>
    <t>Fesleğenli Domates Çorbası</t>
  </si>
  <si>
    <t>İnegöl Köfte / Küp Patates</t>
  </si>
  <si>
    <t>Ezogelin Çorba</t>
  </si>
  <si>
    <t>Patates Musakka</t>
  </si>
  <si>
    <t>Fırın Makarna</t>
  </si>
  <si>
    <t>Kr.Brokoli Çorba</t>
  </si>
  <si>
    <t>Rosto Köfte/Püre</t>
  </si>
  <si>
    <t>Tavuk Çorba</t>
  </si>
  <si>
    <t>Maraş Us. Sulu Köfte</t>
  </si>
  <si>
    <t>Şafak Çorba</t>
  </si>
  <si>
    <t>Sebze Graten</t>
  </si>
  <si>
    <t>Fırın Tavuk /Elma Dilim Pat.</t>
  </si>
  <si>
    <t>Bardak Ayran</t>
  </si>
  <si>
    <t>Çiğ Köfte</t>
  </si>
  <si>
    <t>Arpa Şehriye Çorba</t>
  </si>
  <si>
    <t>Sarıkız  Pilavı</t>
  </si>
  <si>
    <t>Pepsi</t>
  </si>
  <si>
    <t>Yoğurt Tatlısı</t>
  </si>
  <si>
    <t>Naneli Yoğurt Çorba</t>
  </si>
  <si>
    <t>Piliç Yahni</t>
  </si>
  <si>
    <t>Şekerpare</t>
  </si>
  <si>
    <t>Piliç Pirzola/Koslov Garni</t>
  </si>
  <si>
    <t xml:space="preserve">Trileçe </t>
  </si>
  <si>
    <t>Salç.Arpa Şehriye Çorba</t>
  </si>
  <si>
    <t>Soslu Biftek/Ispanak Kavurma</t>
  </si>
  <si>
    <t>Sakızlı Muhallebi</t>
  </si>
  <si>
    <t>Etli Bezelye</t>
  </si>
  <si>
    <t xml:space="preserve">Spagetti </t>
  </si>
  <si>
    <t>Kaş.Domates Çorba</t>
  </si>
  <si>
    <t>Piliç Şinitzel/Elma Dilim Pat.</t>
  </si>
  <si>
    <t>Etli Kış Türlü</t>
  </si>
  <si>
    <t>Limon Çorba</t>
  </si>
  <si>
    <t>Mezgit Tava/Fırın Patates</t>
  </si>
  <si>
    <t>Rokalı Kış Salata</t>
  </si>
  <si>
    <t>Izgara Köfte/Amerikan Garni</t>
  </si>
  <si>
    <t>Salç.Arpa Şeh. Çorba</t>
  </si>
  <si>
    <t>Arnavut Köfte</t>
  </si>
  <si>
    <t>Tas Kebabı</t>
  </si>
  <si>
    <t>Sarı Burma Tatlısı</t>
  </si>
  <si>
    <t>Fes.Soslu Piliç Külbastı/Püre</t>
  </si>
  <si>
    <t>Nescafeli Muhallebi</t>
  </si>
  <si>
    <t>Arpa Şehriye Pilavı</t>
  </si>
  <si>
    <t>Şehriyeli Pirinç Pilavı</t>
  </si>
  <si>
    <t>Sebzeli Yeşil Mercimek</t>
  </si>
  <si>
    <t xml:space="preserve">Köy Usulü Taze Fasulye </t>
  </si>
  <si>
    <t>Tavuklu Patates Yemeği</t>
  </si>
  <si>
    <t>Meksika Köfte</t>
  </si>
  <si>
    <t>Kıy.Taze Fasulye</t>
  </si>
  <si>
    <t>Şeh.Pirinç Pilavı</t>
  </si>
  <si>
    <t xml:space="preserve">Salç.Arpa Şeh.Çorba </t>
  </si>
  <si>
    <t>Vitamin Çorba</t>
  </si>
  <si>
    <t>Fes.Domates Çorba</t>
  </si>
  <si>
    <t>Tel Şehriye Çorba</t>
  </si>
  <si>
    <t>Ispanak Çorba</t>
  </si>
  <si>
    <t>Domates Çorba</t>
  </si>
  <si>
    <t>Ünyem Çorba</t>
  </si>
  <si>
    <t>Maraş Us.Sulu Köfte</t>
  </si>
  <si>
    <t>Piliç Pirzola/Elma Dil. Pat.</t>
  </si>
  <si>
    <t>Tav.Abant Yemeği</t>
  </si>
  <si>
    <t>Mantarlı Et Sote</t>
  </si>
  <si>
    <t>Piliç Haşlama</t>
  </si>
  <si>
    <t>Dalyan Köfte/Püre</t>
  </si>
  <si>
    <t>Kıy.Pırasa Yemeği</t>
  </si>
  <si>
    <t>Et Döner/Elma Dil. Patates</t>
  </si>
  <si>
    <t>Ispanak Sufle</t>
  </si>
  <si>
    <t>Fırın Köfte</t>
  </si>
  <si>
    <t>Tav. Bezelye</t>
  </si>
  <si>
    <t>Macar Köfte</t>
  </si>
  <si>
    <t>Kıy.Karnabahar Graten</t>
  </si>
  <si>
    <t>Kadınbudu Köfte/Şefin Püre</t>
  </si>
  <si>
    <t>Etli Sebzeli Güveç</t>
  </si>
  <si>
    <t>Soslu Biftek/Sebze Garni</t>
  </si>
  <si>
    <t>Mezgit Tava/Elma Dilim Pat.</t>
  </si>
  <si>
    <t>Izgara Köfte/Patates Sote</t>
  </si>
  <si>
    <t>Pey.Su Böreği</t>
  </si>
  <si>
    <t>Krem Şokella</t>
  </si>
  <si>
    <t>Frambuaz Sos.Trileçe</t>
  </si>
  <si>
    <t>Profiterol</t>
  </si>
  <si>
    <t>Mozaik Pasta</t>
  </si>
  <si>
    <t>Mıs.Yeşil Salata</t>
  </si>
  <si>
    <t>Piliç Tandır</t>
  </si>
  <si>
    <t>Tav. Abant Yemeği</t>
  </si>
  <si>
    <t xml:space="preserve">Ekşili Köfte </t>
  </si>
  <si>
    <t>Maydanozlu Ev Köftesi/Patates Sote</t>
  </si>
  <si>
    <t>Endülüs Salata</t>
  </si>
  <si>
    <t xml:space="preserve">Tav. Patates </t>
  </si>
  <si>
    <t>Mantarlı Tas Kebabı</t>
  </si>
  <si>
    <t>Karamel Şelalesi</t>
  </si>
  <si>
    <t>Kıy.Lahana Dolma</t>
  </si>
  <si>
    <t>Dana Haşlama</t>
  </si>
  <si>
    <t>Piliç Kavurma</t>
  </si>
  <si>
    <t>Patates Yahni</t>
  </si>
  <si>
    <t>Yüksük Çorba</t>
  </si>
  <si>
    <t>Yörük Köfte/Küp Patates Kız.</t>
  </si>
  <si>
    <t>Şafak çorba</t>
  </si>
  <si>
    <t>Kadınbudu Köfte/Çörekotlu Püre</t>
  </si>
  <si>
    <t>Hindistan Cevizli Muhallebi</t>
  </si>
  <si>
    <t>Pey.Kol Börek</t>
  </si>
  <si>
    <t>Fırın Tavuk/Yörük Garni</t>
  </si>
  <si>
    <t>Kıy.Kapuska Kalye</t>
  </si>
  <si>
    <t>Piliç Şinitzel/Elma Dilimli Patates</t>
  </si>
  <si>
    <t>Portakallı Kereviz</t>
  </si>
  <si>
    <t>Kazandibi</t>
  </si>
  <si>
    <t>Macar Gulaş</t>
  </si>
  <si>
    <t>Sütlü Kuskus Çorba</t>
  </si>
  <si>
    <t>Kıymalı Bezelye</t>
  </si>
  <si>
    <t>Kadayıflı Çıtır Kapl.Piliç /Küp Pat.Kız.</t>
  </si>
  <si>
    <t>Kış Salata</t>
  </si>
  <si>
    <t>Yoğ. Erişte Çorba</t>
  </si>
  <si>
    <t>Kürdan Köfte</t>
  </si>
  <si>
    <t>Salç.Arpa Şeh.Çorba</t>
  </si>
  <si>
    <t>UYGULAMA ALANI: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</si>
</sst>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\ mmmm;@"/>
    <numFmt numFmtId="165" formatCode="%0"/>
    <numFmt numFmtId="167" formatCode="mmmm\ yyyy"/>
  </numFmts>
  <fonts count="9" x14ac:knownFonts="1">
    <font>
      <sz val="11"/>
      <color rgb="FF000000"/>
      <name val="Calibri"/>
      <family val="2"/>
      <charset val="162"/>
    </font>
    <font>
      <b/>
      <sz val="14"/>
      <color rgb="FF000000"/>
      <name val="Comic Sans MS"/>
      <family val="4"/>
      <charset val="162"/>
    </font>
    <font>
      <b/>
      <i/>
      <sz val="14"/>
      <color rgb="FF000000"/>
      <name val="Comic Sans MS"/>
      <family val="4"/>
      <charset val="162"/>
    </font>
    <font>
      <i/>
      <sz val="11"/>
      <color rgb="FF7F7F7F"/>
      <name val="Calibri"/>
      <family val="2"/>
      <charset val="162"/>
    </font>
    <font>
      <sz val="12"/>
      <color rgb="FF000000"/>
      <name val="Comic Sans MS"/>
      <family val="4"/>
      <charset val="162"/>
    </font>
    <font>
      <sz val="12"/>
      <name val="Comic Sans MS"/>
      <family val="4"/>
      <charset val="162"/>
    </font>
    <font>
      <sz val="11"/>
      <color rgb="FF000000"/>
      <name val="Calibri"/>
      <family val="2"/>
      <charset val="162"/>
    </font>
    <font>
      <b/>
      <sz val="11"/>
      <color rgb="FF000000"/>
      <name val="Calibri"/>
      <family val="2"/>
      <charset val="162"/>
    </font>
    <font>
      <sz val="10"/>
      <name val="Arial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FF00"/>
        <bgColor rgb="FFFFFFCC"/>
      </patternFill>
    </fill>
  </fills>
  <borders count="1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5" fontId="6" fillId="0" borderId="0" applyBorder="0" applyProtection="0"/>
    <xf numFmtId="0" fontId="3" fillId="0" borderId="0" applyBorder="0" applyProtection="0"/>
    <xf numFmtId="0" fontId="8" fillId="0" borderId="0"/>
  </cellStyleXfs>
  <cellXfs count="80">
    <xf numFmtId="0" fontId="0" fillId="0" borderId="0" xfId="0"/>
    <xf numFmtId="2" fontId="1" fillId="2" borderId="1" xfId="2" applyNumberFormat="1" applyFont="1" applyFill="1" applyBorder="1" applyAlignment="1">
      <alignment horizontal="left"/>
    </xf>
    <xf numFmtId="2" fontId="1" fillId="2" borderId="0" xfId="2" applyNumberFormat="1" applyFont="1" applyFill="1" applyBorder="1" applyAlignment="1">
      <alignment horizontal="center" vertical="center"/>
    </xf>
    <xf numFmtId="2" fontId="1" fillId="2" borderId="0" xfId="0" applyNumberFormat="1" applyFont="1" applyFill="1" applyAlignment="1">
      <alignment horizontal="center"/>
    </xf>
    <xf numFmtId="2" fontId="1" fillId="2" borderId="0" xfId="0" applyNumberFormat="1" applyFont="1" applyFill="1" applyAlignment="1">
      <alignment horizontal="center" vertical="center"/>
    </xf>
    <xf numFmtId="2" fontId="1" fillId="2" borderId="0" xfId="2" applyNumberFormat="1" applyFont="1" applyFill="1" applyAlignment="1">
      <alignment horizontal="center"/>
    </xf>
    <xf numFmtId="2" fontId="1" fillId="2" borderId="0" xfId="2" applyNumberFormat="1" applyFont="1" applyFill="1" applyAlignment="1">
      <alignment horizontal="center" vertical="center"/>
    </xf>
    <xf numFmtId="1" fontId="1" fillId="2" borderId="0" xfId="0" applyNumberFormat="1" applyFont="1" applyFill="1" applyAlignment="1">
      <alignment horizontal="center" vertical="center"/>
    </xf>
    <xf numFmtId="0" fontId="1" fillId="2" borderId="0" xfId="2" applyFont="1" applyFill="1" applyAlignment="1">
      <alignment horizontal="center"/>
    </xf>
    <xf numFmtId="0" fontId="1" fillId="2" borderId="0" xfId="0" applyFont="1" applyFill="1" applyAlignment="1">
      <alignment horizontal="center"/>
    </xf>
    <xf numFmtId="2" fontId="2" fillId="2" borderId="2" xfId="2" applyNumberFormat="1" applyFont="1" applyFill="1" applyBorder="1" applyAlignment="1">
      <alignment horizontal="center"/>
    </xf>
    <xf numFmtId="2" fontId="2" fillId="2" borderId="3" xfId="2" applyNumberFormat="1" applyFont="1" applyFill="1" applyBorder="1" applyAlignment="1">
      <alignment horizontal="center"/>
    </xf>
    <xf numFmtId="2" fontId="2" fillId="2" borderId="4" xfId="2" applyNumberFormat="1" applyFont="1" applyFill="1" applyBorder="1" applyAlignment="1">
      <alignment horizontal="center"/>
    </xf>
    <xf numFmtId="2" fontId="2" fillId="2" borderId="5" xfId="2" applyNumberFormat="1" applyFont="1" applyFill="1" applyBorder="1" applyAlignment="1">
      <alignment horizontal="center"/>
    </xf>
    <xf numFmtId="2" fontId="2" fillId="2" borderId="6" xfId="2" applyNumberFormat="1" applyFont="1" applyFill="1" applyBorder="1" applyAlignment="1">
      <alignment horizontal="center"/>
    </xf>
    <xf numFmtId="2" fontId="2" fillId="2" borderId="7" xfId="2" applyNumberFormat="1" applyFont="1" applyFill="1" applyBorder="1" applyAlignment="1">
      <alignment horizontal="center"/>
    </xf>
    <xf numFmtId="2" fontId="2" fillId="2" borderId="2" xfId="2" applyNumberFormat="1" applyFont="1" applyFill="1" applyBorder="1" applyAlignment="1">
      <alignment horizontal="center" vertical="center"/>
    </xf>
    <xf numFmtId="164" fontId="1" fillId="2" borderId="6" xfId="2" applyNumberFormat="1" applyFont="1" applyFill="1" applyBorder="1" applyAlignment="1">
      <alignment horizontal="center" vertical="center"/>
    </xf>
    <xf numFmtId="2" fontId="2" fillId="2" borderId="3" xfId="1" applyNumberFormat="1" applyFont="1" applyFill="1" applyBorder="1" applyAlignment="1" applyProtection="1">
      <alignment horizontal="center" vertical="center"/>
    </xf>
    <xf numFmtId="2" fontId="2" fillId="2" borderId="2" xfId="1" applyNumberFormat="1" applyFont="1" applyFill="1" applyBorder="1" applyAlignment="1" applyProtection="1">
      <alignment horizontal="center" vertical="center"/>
    </xf>
    <xf numFmtId="2" fontId="4" fillId="2" borderId="0" xfId="2" applyNumberFormat="1" applyFont="1" applyFill="1" applyBorder="1" applyAlignment="1" applyProtection="1">
      <alignment horizontal="center"/>
    </xf>
    <xf numFmtId="1" fontId="4" fillId="2" borderId="3" xfId="2" applyNumberFormat="1" applyFont="1" applyFill="1" applyBorder="1" applyAlignment="1" applyProtection="1">
      <alignment horizontal="center" vertical="center"/>
    </xf>
    <xf numFmtId="1" fontId="4" fillId="2" borderId="2" xfId="2" applyNumberFormat="1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2" fontId="4" fillId="2" borderId="0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1" fontId="4" fillId="2" borderId="9" xfId="2" applyNumberFormat="1" applyFont="1" applyFill="1" applyBorder="1" applyAlignment="1" applyProtection="1">
      <alignment horizontal="center" vertical="center"/>
    </xf>
    <xf numFmtId="0" fontId="4" fillId="2" borderId="8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2" fontId="4" fillId="2" borderId="0" xfId="2" applyNumberFormat="1" applyFont="1" applyFill="1" applyBorder="1" applyAlignment="1">
      <alignment horizontal="center"/>
    </xf>
    <xf numFmtId="2" fontId="4" fillId="2" borderId="10" xfId="2" applyNumberFormat="1" applyFont="1" applyFill="1" applyBorder="1" applyAlignment="1">
      <alignment horizontal="center"/>
    </xf>
    <xf numFmtId="1" fontId="4" fillId="2" borderId="11" xfId="2" applyNumberFormat="1" applyFont="1" applyFill="1" applyBorder="1" applyAlignment="1" applyProtection="1">
      <alignment horizontal="center" vertical="center"/>
    </xf>
    <xf numFmtId="2" fontId="4" fillId="2" borderId="12" xfId="2" applyNumberFormat="1" applyFont="1" applyFill="1" applyBorder="1" applyAlignment="1">
      <alignment horizontal="center"/>
    </xf>
    <xf numFmtId="164" fontId="1" fillId="2" borderId="2" xfId="2" applyNumberFormat="1" applyFont="1" applyFill="1" applyBorder="1" applyAlignment="1">
      <alignment horizontal="center" vertical="center"/>
    </xf>
    <xf numFmtId="2" fontId="2" fillId="2" borderId="7" xfId="1" applyNumberFormat="1" applyFont="1" applyFill="1" applyBorder="1" applyAlignment="1" applyProtection="1">
      <alignment horizontal="center" vertical="center"/>
    </xf>
    <xf numFmtId="2" fontId="2" fillId="2" borderId="6" xfId="1" applyNumberFormat="1" applyFont="1" applyFill="1" applyBorder="1" applyAlignment="1" applyProtection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1" fontId="4" fillId="2" borderId="0" xfId="2" applyNumberFormat="1" applyFont="1" applyFill="1" applyBorder="1" applyAlignment="1" applyProtection="1">
      <alignment horizontal="center" vertical="center"/>
    </xf>
    <xf numFmtId="1" fontId="4" fillId="2" borderId="0" xfId="2" applyNumberFormat="1" applyFont="1" applyFill="1" applyBorder="1" applyAlignment="1">
      <alignment horizontal="center" vertical="center"/>
    </xf>
    <xf numFmtId="2" fontId="4" fillId="2" borderId="2" xfId="2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1" fontId="4" fillId="2" borderId="2" xfId="2" applyNumberFormat="1" applyFont="1" applyFill="1" applyBorder="1" applyAlignment="1">
      <alignment horizontal="center" vertical="center"/>
    </xf>
    <xf numFmtId="2" fontId="4" fillId="2" borderId="2" xfId="0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2" fontId="4" fillId="2" borderId="4" xfId="2" applyNumberFormat="1" applyFont="1" applyFill="1" applyBorder="1" applyAlignment="1">
      <alignment horizontal="center"/>
    </xf>
    <xf numFmtId="2" fontId="4" fillId="2" borderId="9" xfId="2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5" fillId="2" borderId="9" xfId="2" applyNumberFormat="1" applyFont="1" applyFill="1" applyBorder="1" applyAlignment="1">
      <alignment horizontal="center"/>
    </xf>
    <xf numFmtId="1" fontId="5" fillId="2" borderId="0" xfId="2" applyNumberFormat="1" applyFont="1" applyFill="1" applyBorder="1" applyAlignment="1" applyProtection="1">
      <alignment horizontal="center" vertical="center"/>
    </xf>
    <xf numFmtId="0" fontId="4" fillId="2" borderId="9" xfId="2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1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/>
    </xf>
    <xf numFmtId="1" fontId="4" fillId="2" borderId="1" xfId="2" applyNumberFormat="1" applyFont="1" applyFill="1" applyBorder="1" applyAlignment="1" applyProtection="1">
      <alignment horizontal="center" vertical="center"/>
    </xf>
    <xf numFmtId="2" fontId="4" fillId="2" borderId="11" xfId="2" applyNumberFormat="1" applyFont="1" applyFill="1" applyBorder="1" applyAlignment="1">
      <alignment horizontal="center"/>
    </xf>
    <xf numFmtId="2" fontId="4" fillId="2" borderId="13" xfId="2" applyNumberFormat="1" applyFont="1" applyFill="1" applyBorder="1" applyAlignment="1">
      <alignment horizontal="center"/>
    </xf>
    <xf numFmtId="1" fontId="4" fillId="2" borderId="12" xfId="2" applyNumberFormat="1" applyFont="1" applyFill="1" applyBorder="1" applyAlignment="1">
      <alignment horizontal="center" vertical="center"/>
    </xf>
    <xf numFmtId="2" fontId="4" fillId="2" borderId="8" xfId="2" applyNumberFormat="1" applyFont="1" applyFill="1" applyBorder="1" applyAlignment="1">
      <alignment horizontal="center"/>
    </xf>
    <xf numFmtId="2" fontId="4" fillId="2" borderId="8" xfId="0" applyNumberFormat="1" applyFont="1" applyFill="1" applyBorder="1" applyAlignment="1">
      <alignment horizontal="center"/>
    </xf>
    <xf numFmtId="1" fontId="4" fillId="2" borderId="9" xfId="2" applyNumberFormat="1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2" fontId="4" fillId="2" borderId="1" xfId="2" applyNumberFormat="1" applyFont="1" applyFill="1" applyBorder="1" applyAlignment="1">
      <alignment horizontal="center"/>
    </xf>
    <xf numFmtId="1" fontId="4" fillId="2" borderId="8" xfId="2" applyNumberFormat="1" applyFont="1" applyFill="1" applyBorder="1" applyAlignment="1" applyProtection="1">
      <alignment horizontal="center" vertical="center"/>
    </xf>
    <xf numFmtId="1" fontId="4" fillId="2" borderId="8" xfId="0" applyNumberFormat="1" applyFont="1" applyFill="1" applyBorder="1" applyAlignment="1">
      <alignment horizontal="center"/>
    </xf>
    <xf numFmtId="0" fontId="7" fillId="0" borderId="0" xfId="0" applyFont="1"/>
    <xf numFmtId="14" fontId="0" fillId="0" borderId="0" xfId="0" applyNumberFormat="1"/>
    <xf numFmtId="0" fontId="4" fillId="0" borderId="0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8" xfId="0" applyFont="1" applyFill="1" applyBorder="1" applyAlignment="1">
      <alignment horizontal="center"/>
    </xf>
    <xf numFmtId="167" fontId="1" fillId="2" borderId="1" xfId="2" applyNumberFormat="1" applyFont="1" applyFill="1" applyBorder="1" applyAlignment="1">
      <alignment horizontal="left" vertical="center"/>
    </xf>
    <xf numFmtId="2" fontId="4" fillId="2" borderId="12" xfId="2" applyNumberFormat="1" applyFont="1" applyFill="1" applyBorder="1" applyAlignment="1" applyProtection="1">
      <alignment horizontal="center"/>
    </xf>
    <xf numFmtId="2" fontId="2" fillId="2" borderId="14" xfId="1" applyNumberFormat="1" applyFont="1" applyFill="1" applyBorder="1" applyAlignment="1" applyProtection="1">
      <alignment horizontal="center" vertical="center"/>
    </xf>
    <xf numFmtId="2" fontId="4" fillId="2" borderId="9" xfId="2" applyNumberFormat="1" applyFont="1" applyFill="1" applyBorder="1" applyAlignment="1" applyProtection="1">
      <alignment horizontal="center"/>
    </xf>
    <xf numFmtId="0" fontId="4" fillId="2" borderId="0" xfId="2" applyFont="1" applyFill="1" applyBorder="1" applyAlignment="1">
      <alignment horizontal="center"/>
    </xf>
    <xf numFmtId="2" fontId="4" fillId="3" borderId="9" xfId="0" applyNumberFormat="1" applyFont="1" applyFill="1" applyBorder="1" applyAlignment="1">
      <alignment horizontal="center"/>
    </xf>
    <xf numFmtId="2" fontId="4" fillId="3" borderId="0" xfId="0" applyNumberFormat="1" applyFont="1" applyFill="1" applyBorder="1" applyAlignment="1">
      <alignment horizontal="center"/>
    </xf>
    <xf numFmtId="1" fontId="4" fillId="3" borderId="9" xfId="2" applyNumberFormat="1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1" fontId="4" fillId="3" borderId="9" xfId="2" applyNumberFormat="1" applyFont="1" applyFill="1" applyBorder="1" applyAlignment="1">
      <alignment horizontal="center" vertical="center"/>
    </xf>
  </cellXfs>
  <cellStyles count="4">
    <cellStyle name="Açıklama Metni" xfId="2" builtinId="53" customBuiltin="1"/>
    <cellStyle name="Normal" xfId="0" builtinId="0"/>
    <cellStyle name="Normal 2 3" xfId="3"/>
    <cellStyle name="Yüzde" xfId="1" builtinId="5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7F7F7F"/>
      <rgbColor rgb="FF9999FF"/>
      <rgbColor rgb="FF993366"/>
      <rgbColor rgb="FFFFFFCC"/>
      <rgbColor rgb="FF99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B4:O41"/>
  <sheetViews>
    <sheetView tabSelected="1" zoomScale="51" zoomScaleNormal="51" workbookViewId="0">
      <selection activeCell="H23" sqref="H23"/>
    </sheetView>
  </sheetViews>
  <sheetFormatPr defaultRowHeight="15" x14ac:dyDescent="0.25"/>
  <cols>
    <col min="1" max="1" width="8.7109375" customWidth="1"/>
    <col min="2" max="2" width="41" customWidth="1"/>
    <col min="3" max="3" width="8.7109375" customWidth="1"/>
    <col min="4" max="4" width="41" customWidth="1"/>
    <col min="5" max="5" width="8.7109375" customWidth="1"/>
    <col min="6" max="6" width="41" customWidth="1"/>
    <col min="7" max="7" width="8.7109375" customWidth="1"/>
    <col min="8" max="8" width="41" customWidth="1"/>
    <col min="9" max="9" width="8.7109375" customWidth="1"/>
    <col min="10" max="10" width="41" customWidth="1"/>
    <col min="11" max="11" width="8.7109375" customWidth="1"/>
    <col min="12" max="12" width="41" customWidth="1"/>
    <col min="13" max="13" width="8.7109375" customWidth="1"/>
    <col min="14" max="14" width="41" customWidth="1"/>
    <col min="15" max="1025" width="8.7109375" customWidth="1"/>
  </cols>
  <sheetData>
    <row r="4" spans="2:15" ht="23.25" thickBot="1" x14ac:dyDescent="0.5">
      <c r="B4" s="1" t="s">
        <v>214</v>
      </c>
      <c r="C4" s="70">
        <v>43525</v>
      </c>
      <c r="D4" s="70"/>
      <c r="E4" s="2"/>
      <c r="F4" s="3"/>
      <c r="G4" s="4"/>
      <c r="H4" s="5"/>
      <c r="I4" s="6"/>
      <c r="J4" s="4"/>
      <c r="K4" s="7"/>
      <c r="L4" s="8" t="s">
        <v>0</v>
      </c>
      <c r="M4" s="9"/>
      <c r="N4" s="3"/>
      <c r="O4" s="4"/>
    </row>
    <row r="5" spans="2:15" ht="23.25" thickBot="1" x14ac:dyDescent="0.5">
      <c r="B5" s="10" t="s">
        <v>1</v>
      </c>
      <c r="C5" s="11"/>
      <c r="D5" s="10" t="s">
        <v>2</v>
      </c>
      <c r="E5" s="10"/>
      <c r="F5" s="12" t="s">
        <v>3</v>
      </c>
      <c r="G5" s="10"/>
      <c r="H5" s="13" t="s">
        <v>4</v>
      </c>
      <c r="I5" s="10"/>
      <c r="J5" s="14" t="s">
        <v>5</v>
      </c>
      <c r="K5" s="15"/>
      <c r="L5" s="10" t="s">
        <v>6</v>
      </c>
      <c r="M5" s="11"/>
      <c r="N5" s="10" t="s">
        <v>7</v>
      </c>
      <c r="O5" s="16"/>
    </row>
    <row r="6" spans="2:15" ht="23.25" thickBot="1" x14ac:dyDescent="0.3">
      <c r="B6" s="17"/>
      <c r="C6" s="18" t="s">
        <v>8</v>
      </c>
      <c r="D6" s="17"/>
      <c r="E6" s="18" t="s">
        <v>8</v>
      </c>
      <c r="F6" s="17"/>
      <c r="G6" s="18" t="s">
        <v>8</v>
      </c>
      <c r="H6" s="17"/>
      <c r="I6" s="18" t="s">
        <v>8</v>
      </c>
      <c r="J6" s="17">
        <f>C4</f>
        <v>43525</v>
      </c>
      <c r="K6" s="18" t="s">
        <v>8</v>
      </c>
      <c r="L6" s="17">
        <f>J6+1</f>
        <v>43526</v>
      </c>
      <c r="M6" s="18" t="s">
        <v>8</v>
      </c>
      <c r="N6" s="17">
        <f>L6+1</f>
        <v>43527</v>
      </c>
      <c r="O6" s="19" t="s">
        <v>8</v>
      </c>
    </row>
    <row r="7" spans="2:15" ht="19.5" x14ac:dyDescent="0.25">
      <c r="B7" s="21" t="str">
        <f>IFERROR(VLOOKUP(B$6,Data!$A:$F,2,0),"")</f>
        <v/>
      </c>
      <c r="C7" s="22" t="str">
        <f>IFERROR(VLOOKUP(B7,Kaloriler!$A:$B,2,0),"")</f>
        <v/>
      </c>
      <c r="D7" s="21" t="str">
        <f>IFERROR(VLOOKUP(D6,Data!$A:$F,2,0),"")</f>
        <v/>
      </c>
      <c r="E7" s="22" t="str">
        <f>IFERROR(VLOOKUP(D7,Kaloriler!$A:$B,2,0),"")</f>
        <v/>
      </c>
      <c r="F7" s="21" t="str">
        <f>IFERROR(VLOOKUP(F$6,Data!$A:$F,2,0),"")</f>
        <v/>
      </c>
      <c r="G7" s="22" t="str">
        <f>IFERROR(VLOOKUP(F7,Kaloriler!$A:$B,2,0),"")</f>
        <v/>
      </c>
      <c r="H7" s="21" t="str">
        <f>IFERROR(VLOOKUP(H$6,Data!$A:$F,2,0),"")</f>
        <v/>
      </c>
      <c r="I7" s="22" t="str">
        <f>IFERROR(VLOOKUP(H7,Kaloriler!$A:$B,2,0),"")</f>
        <v/>
      </c>
      <c r="J7" s="21" t="str">
        <f>IFERROR(VLOOKUP(J$6,Data!$A:$F,2,0),"")</f>
        <v>Prenses Çorba</v>
      </c>
      <c r="K7" s="22">
        <f>IFERROR(VLOOKUP(J7,Kaloriler!$A:$B,2,0),"")</f>
        <v>190</v>
      </c>
      <c r="L7" s="21" t="str">
        <f>IFERROR(VLOOKUP(L$6,Data!$A:$F,2,0),"")</f>
        <v>Yayla Çorba</v>
      </c>
      <c r="M7" s="22">
        <f>IFERROR(VLOOKUP(L7,Kaloriler!$A:$B,2,0),"")</f>
        <v>150</v>
      </c>
      <c r="N7" s="21" t="str">
        <f>IFERROR(VLOOKUP(N$6,Data!$A:$F,2,0),"")</f>
        <v>Antep Çorba</v>
      </c>
      <c r="O7" s="22">
        <f>IFERROR(VLOOKUP(N7,Kaloriler!$A:$B,2,0),"")</f>
        <v>237</v>
      </c>
    </row>
    <row r="8" spans="2:15" ht="19.5" x14ac:dyDescent="0.4">
      <c r="B8" s="69" t="str">
        <f>IFERROR(VLOOKUP(B$6,Data!$A:$F,3,0),"")</f>
        <v/>
      </c>
      <c r="C8" s="25" t="str">
        <f>IFERROR(VLOOKUP(B8,Kaloriler!$A:$B,2,0),"")</f>
        <v/>
      </c>
      <c r="D8" s="69" t="str">
        <f>IFERROR(VLOOKUP(D6,Data!$A:$F,3,0),"")</f>
        <v/>
      </c>
      <c r="E8" s="68" t="str">
        <f>IFERROR(VLOOKUP(D8,Kaloriler!$A:$B,2,0),"")</f>
        <v/>
      </c>
      <c r="F8" s="69" t="str">
        <f>IFERROR(VLOOKUP(F$6,Data!$A:$F,3,0),"")</f>
        <v/>
      </c>
      <c r="G8" s="68" t="str">
        <f>IFERROR(VLOOKUP(F8,Kaloriler!$A:$B,2,0),"")</f>
        <v/>
      </c>
      <c r="H8" s="69" t="str">
        <f>IFERROR(VLOOKUP(H$6,Data!$A:$F,3,0),"")</f>
        <v/>
      </c>
      <c r="I8" s="68" t="str">
        <f>IFERROR(VLOOKUP(H8,Kaloriler!$A:$B,2,0),"")</f>
        <v/>
      </c>
      <c r="J8" s="69" t="str">
        <f>IFERROR(VLOOKUP(J$6,Data!$A:$F,3,0),"")</f>
        <v>Kıy.Karnabahar Graten</v>
      </c>
      <c r="K8" s="68">
        <f>IFERROR(VLOOKUP(J8,Kaloriler!$A:$B,2,0),"")</f>
        <v>300</v>
      </c>
      <c r="L8" s="69" t="str">
        <f>IFERROR(VLOOKUP(L$6,Data!$A:$F,3,0),"")</f>
        <v>Piliç Tandır</v>
      </c>
      <c r="M8" s="25">
        <f>IFERROR(VLOOKUP(L8,Kaloriler!$A:$B,2,0),"")</f>
        <v>400</v>
      </c>
      <c r="N8" s="23" t="str">
        <f>IFERROR(VLOOKUP(N$6,Data!$A:$F,3,0),"")</f>
        <v>Tav. Abant Yemeği</v>
      </c>
      <c r="O8" s="26">
        <f>IFERROR(VLOOKUP(N8,Kaloriler!$A:$B,2,0),"")</f>
        <v>260</v>
      </c>
    </row>
    <row r="9" spans="2:15" ht="19.5" x14ac:dyDescent="0.4">
      <c r="B9" s="27" t="str">
        <f>IFERROR(VLOOKUP(B$6,Data!$A:$F,4,0),"")</f>
        <v/>
      </c>
      <c r="C9" s="26" t="str">
        <f>IFERROR(VLOOKUP(B9,Kaloriler!$A:$B,2,0),"")</f>
        <v/>
      </c>
      <c r="D9" s="27" t="str">
        <f>IFERROR(VLOOKUP(D6,Data!$A:$F,4,0),"")</f>
        <v/>
      </c>
      <c r="E9" s="26" t="str">
        <f>IFERROR(VLOOKUP(D9,Kaloriler!$A:$B,2,0),"")</f>
        <v/>
      </c>
      <c r="F9" s="27" t="str">
        <f>IFERROR(VLOOKUP(F$6,Data!$A:$F,4,0),"")</f>
        <v/>
      </c>
      <c r="G9" s="26" t="str">
        <f>IFERROR(VLOOKUP(F9,Kaloriler!$A:$B,2,0),"")</f>
        <v/>
      </c>
      <c r="H9" s="27" t="str">
        <f>IFERROR(VLOOKUP(H$6,Data!$A:$F,4,0),"")</f>
        <v/>
      </c>
      <c r="I9" s="26" t="str">
        <f>IFERROR(VLOOKUP(H9,Kaloriler!$A:$B,2,0),"")</f>
        <v/>
      </c>
      <c r="J9" s="27" t="str">
        <f>IFERROR(VLOOKUP(J$6,Data!$A:$F,4,0),"")</f>
        <v>Şeh.Pirinç Pilavı</v>
      </c>
      <c r="K9" s="26">
        <f>IFERROR(VLOOKUP(J9,Kaloriler!$A:$B,2,0),"")</f>
        <v>336</v>
      </c>
      <c r="L9" s="27" t="str">
        <f>IFERROR(VLOOKUP(L$6,Data!$A:$F,4,0),"")</f>
        <v>Makarna</v>
      </c>
      <c r="M9" s="26">
        <f>IFERROR(VLOOKUP(L9,Kaloriler!$A:$B,2,0),"")</f>
        <v>350</v>
      </c>
      <c r="N9" s="28" t="str">
        <f>IFERROR(VLOOKUP(N$6,Data!$A:$F,4,0),"")</f>
        <v>Bulgur Pilavı</v>
      </c>
      <c r="O9" s="25">
        <f>IFERROR(VLOOKUP(N9,Kaloriler!$A:$B,2,0),"")</f>
        <v>291</v>
      </c>
    </row>
    <row r="10" spans="2:15" ht="19.5" x14ac:dyDescent="0.4">
      <c r="B10" s="27" t="str">
        <f>IFERROR(VLOOKUP(B$6,Data!$A:$F,5,0),"")</f>
        <v/>
      </c>
      <c r="C10" s="26" t="str">
        <f>IFERROR(VLOOKUP(B10,Kaloriler!$A:$B,2,0),"")</f>
        <v/>
      </c>
      <c r="D10" s="27" t="str">
        <f>IFERROR(VLOOKUP(D6,Data!$A:$F,5,0),"")</f>
        <v/>
      </c>
      <c r="E10" s="26" t="str">
        <f>IFERROR(VLOOKUP(D10,Kaloriler!$A:$B,2,0),"")</f>
        <v/>
      </c>
      <c r="F10" s="27" t="str">
        <f>IFERROR(VLOOKUP(F$6,Data!$A:$F,5,0),"")</f>
        <v/>
      </c>
      <c r="G10" s="26" t="str">
        <f>IFERROR(VLOOKUP(F10,Kaloriler!$A:$B,2,0),"")</f>
        <v/>
      </c>
      <c r="H10" s="27" t="str">
        <f>IFERROR(VLOOKUP(H$6,Data!$A:$F,5,0),"")</f>
        <v/>
      </c>
      <c r="I10" s="26" t="str">
        <f>IFERROR(VLOOKUP(H10,Kaloriler!$A:$B,2,0),"")</f>
        <v/>
      </c>
      <c r="J10" s="27" t="str">
        <f>IFERROR(VLOOKUP(J$6,Data!$A:$F,5,0),"")</f>
        <v>Yoğurt</v>
      </c>
      <c r="K10" s="26">
        <f>IFERROR(VLOOKUP(J10,Kaloriler!$A:$B,2,0),"")</f>
        <v>140</v>
      </c>
      <c r="L10" s="27" t="str">
        <f>IFERROR(VLOOKUP(L$6,Data!$A:$F,5,0),"")</f>
        <v>Yoğurt</v>
      </c>
      <c r="M10" s="26">
        <f>IFERROR(VLOOKUP(L10,Kaloriler!$A:$B,2,0),"")</f>
        <v>140</v>
      </c>
      <c r="N10" s="28" t="str">
        <f>IFERROR(VLOOKUP(N$6,Data!$A:$F,5,0),"")</f>
        <v>Yoğurt</v>
      </c>
      <c r="O10" s="26">
        <f>IFERROR(VLOOKUP(N10,Kaloriler!$A:$B,2,0),"")</f>
        <v>140</v>
      </c>
    </row>
    <row r="11" spans="2:15" ht="20.25" thickBot="1" x14ac:dyDescent="0.45">
      <c r="B11" s="30" t="str">
        <f>IFERROR(VLOOKUP(B$6,Data!$A:$F,6,0),"")</f>
        <v/>
      </c>
      <c r="C11" s="31" t="str">
        <f>IFERROR(VLOOKUP(B11,Kaloriler!$A:$B,2,0),"")</f>
        <v/>
      </c>
      <c r="D11" s="30" t="str">
        <f>IFERROR(VLOOKUP(D6,Data!$A:$F,6,0),"")</f>
        <v/>
      </c>
      <c r="E11" s="31" t="str">
        <f>IFERROR(VLOOKUP(D11,Kaloriler!$A:$B,2,0),"")</f>
        <v/>
      </c>
      <c r="F11" s="30" t="str">
        <f>IFERROR(VLOOKUP(F$6,Data!$A:$F,6,0),"")</f>
        <v/>
      </c>
      <c r="G11" s="31" t="str">
        <f>IFERROR(VLOOKUP(F11,Kaloriler!$A:$B,2,0),"")</f>
        <v/>
      </c>
      <c r="H11" s="30" t="str">
        <f>IFERROR(VLOOKUP(H$6,Data!$A:$F,6,0),"")</f>
        <v/>
      </c>
      <c r="I11" s="31" t="str">
        <f>IFERROR(VLOOKUP(H11,Kaloriler!$A:$B,2,0),"")</f>
        <v/>
      </c>
      <c r="J11" s="30" t="str">
        <f>IFERROR(VLOOKUP(J$6,Data!$A:$F,6,0),"")</f>
        <v>Kalburabastı</v>
      </c>
      <c r="K11" s="31">
        <f>IFERROR(VLOOKUP(J11,Kaloriler!$A:$B,2,0),"")</f>
        <v>385</v>
      </c>
      <c r="L11" s="30" t="str">
        <f>IFERROR(VLOOKUP(L$6,Data!$A:$F,6,0),"")</f>
        <v>Sütlaç</v>
      </c>
      <c r="M11" s="31">
        <f>IFERROR(VLOOKUP(L11,Kaloriler!$A:$B,2,0),"")</f>
        <v>173</v>
      </c>
      <c r="N11" s="32" t="str">
        <f>IFERROR(VLOOKUP(N$6,Data!$A:$F,6,0),"")</f>
        <v>Meyve</v>
      </c>
      <c r="O11" s="25">
        <f>IFERROR(VLOOKUP(N11,Kaloriler!$A:$B,2,0),"")</f>
        <v>80</v>
      </c>
    </row>
    <row r="12" spans="2:15" ht="23.25" thickBot="1" x14ac:dyDescent="0.3">
      <c r="B12" s="33">
        <f>N6+1</f>
        <v>43528</v>
      </c>
      <c r="C12" s="34" t="s">
        <v>8</v>
      </c>
      <c r="D12" s="33">
        <f>B12+1</f>
        <v>43529</v>
      </c>
      <c r="E12" s="35" t="s">
        <v>8</v>
      </c>
      <c r="F12" s="33">
        <f>D12+1</f>
        <v>43530</v>
      </c>
      <c r="G12" s="18" t="s">
        <v>8</v>
      </c>
      <c r="H12" s="33">
        <f>F12+1</f>
        <v>43531</v>
      </c>
      <c r="I12" s="34" t="s">
        <v>8</v>
      </c>
      <c r="J12" s="33">
        <f>H12+1</f>
        <v>43532</v>
      </c>
      <c r="K12" s="18" t="s">
        <v>8</v>
      </c>
      <c r="L12" s="33">
        <f>J12+1</f>
        <v>43533</v>
      </c>
      <c r="M12" s="19" t="s">
        <v>8</v>
      </c>
      <c r="N12" s="33">
        <f>L12+1</f>
        <v>43534</v>
      </c>
      <c r="O12" s="19" t="s">
        <v>8</v>
      </c>
    </row>
    <row r="13" spans="2:15" ht="19.5" x14ac:dyDescent="0.4">
      <c r="B13" s="36" t="str">
        <f>IFERROR(VLOOKUP(B12,Data!$A:$F,2,0),"")</f>
        <v>Tel Şehriye Çorba</v>
      </c>
      <c r="C13" s="37">
        <f>IFERROR(VLOOKUP(B13,Kaloriler!$A:$B,2,0),"")</f>
        <v>150</v>
      </c>
      <c r="D13" s="22" t="str">
        <f>IFERROR(VLOOKUP(D12,Data!$A:$F,2,0),"")</f>
        <v>Tavuk Çorba</v>
      </c>
      <c r="E13" s="38">
        <f>IFERROR(VLOOKUP(D13,Kaloriler!$A:$B,2,0),"")</f>
        <v>148</v>
      </c>
      <c r="F13" s="22" t="str">
        <f>IFERROR(VLOOKUP(F12,Data!$A:$F,2,0),"")</f>
        <v>Taneli Sebze Çorba</v>
      </c>
      <c r="G13" s="22">
        <f>IFERROR(VLOOKUP(F13,Kaloriler!$A:$B,2,0),"")</f>
        <v>190</v>
      </c>
      <c r="H13" s="39" t="str">
        <f>IFERROR(VLOOKUP(H12,Data!$A:$F,2,0),"")</f>
        <v>Mercimek Çorba</v>
      </c>
      <c r="I13" s="37">
        <f>IFERROR(VLOOKUP(H13,Kaloriler!$A:$B,2,0),"")</f>
        <v>237</v>
      </c>
      <c r="J13" s="40" t="str">
        <f>IFERROR(VLOOKUP(J12,Data!$A:$F,2,0),"")</f>
        <v>Naneli Yoğurt Çorba</v>
      </c>
      <c r="K13" s="41">
        <f>IFERROR(VLOOKUP(J13,Kaloriler!$A:$B,2,0),"")</f>
        <v>150</v>
      </c>
      <c r="L13" s="42" t="str">
        <f>IFERROR(VLOOKUP(L12,Data!$A:$F,2,0),"")</f>
        <v>Ezogelin Çorba</v>
      </c>
      <c r="M13" s="43">
        <f>IFERROR(VLOOKUP(L13,Kaloriler!$A:$B,2,0),"")</f>
        <v>237</v>
      </c>
      <c r="N13" s="44" t="str">
        <f>IFERROR(VLOOKUP(N12,Data!$A:$F,2,0),"")</f>
        <v>Tavuksuyu Çorba</v>
      </c>
      <c r="O13" s="22">
        <f>IFERROR(VLOOKUP(N13,Kaloriler!$A:$B,2,0),"")</f>
        <v>148</v>
      </c>
    </row>
    <row r="14" spans="2:15" ht="19.5" x14ac:dyDescent="0.4">
      <c r="B14" s="45" t="str">
        <f>IFERROR(VLOOKUP(B12,Data!$A:$F,3,0),"")</f>
        <v xml:space="preserve">Ekşili Köfte </v>
      </c>
      <c r="C14" s="37">
        <f>IFERROR(VLOOKUP(B14,Kaloriler!$A:$B,2,0),"")</f>
        <v>400</v>
      </c>
      <c r="D14" s="45" t="str">
        <f>IFERROR(VLOOKUP(D12,Data!$A:$F,3,0),"")</f>
        <v>Gemici Nohut</v>
      </c>
      <c r="E14" s="37">
        <f>IFERROR(VLOOKUP(D14,Kaloriler!$A:$B,2,0),"")</f>
        <v>170</v>
      </c>
      <c r="F14" s="46" t="str">
        <f>IFERROR(VLOOKUP(F12,Data!$A:$F,3,0),"")</f>
        <v>Maydanozlu Ev Köftesi/Patates Sote</v>
      </c>
      <c r="G14" s="25">
        <f>IFERROR(VLOOKUP(F14,Kaloriler!$A:$B,2,0),"")</f>
        <v>400</v>
      </c>
      <c r="H14" s="47" t="str">
        <f>IFERROR(VLOOKUP(H12,Data!$A:$F,3,0),"")</f>
        <v xml:space="preserve">Tav. Patates </v>
      </c>
      <c r="I14" s="48">
        <f>IFERROR(VLOOKUP(H14,Kaloriler!$A:$B,2,0),"")</f>
        <v>300</v>
      </c>
      <c r="J14" s="75" t="str">
        <f>IFERROR(VLOOKUP(J12,Data!$A:$F,3,0),"")</f>
        <v>Mantarlı Tas Kebabı</v>
      </c>
      <c r="K14" s="77">
        <f>IFERROR(VLOOKUP(J14,Kaloriler!$A:$B,2,0),"")</f>
        <v>400</v>
      </c>
      <c r="L14" s="45" t="str">
        <f>IFERROR(VLOOKUP(L12,Data!$A:$F,3,0),"")</f>
        <v>Kıy.Lahana Dolma</v>
      </c>
      <c r="M14" s="26">
        <f>IFERROR(VLOOKUP(L14,Kaloriler!$A:$B,2,0),"")</f>
        <v>300</v>
      </c>
      <c r="N14" s="32" t="str">
        <f>IFERROR(VLOOKUP(N12,Data!$A:$F,3,0),"")</f>
        <v>İzmir Köfte</v>
      </c>
      <c r="O14" s="26">
        <f>IFERROR(VLOOKUP(N14,Kaloriler!$A:$B,2,0),"")</f>
        <v>400</v>
      </c>
    </row>
    <row r="15" spans="2:15" ht="19.5" x14ac:dyDescent="0.4">
      <c r="B15" s="49" t="str">
        <f>IFERROR(VLOOKUP(B12,Data!$A:$F,4,0),"")</f>
        <v>Makarna</v>
      </c>
      <c r="C15" s="50">
        <f>IFERROR(VLOOKUP(B15,Kaloriler!$A:$B,2,0),"")</f>
        <v>350</v>
      </c>
      <c r="D15" s="46" t="str">
        <f>IFERROR(VLOOKUP(D12,Data!$A:$F,4,0),"")</f>
        <v>Şeh.Pirinç Pilavı</v>
      </c>
      <c r="E15" s="37">
        <f>IFERROR(VLOOKUP(D15,Kaloriler!$A:$B,2,0),"")</f>
        <v>336</v>
      </c>
      <c r="F15" s="45" t="str">
        <f>IFERROR(VLOOKUP(F12,Data!$A:$F,4,0),"")</f>
        <v>Bulgur Pilavı</v>
      </c>
      <c r="G15" s="51">
        <f>IFERROR(VLOOKUP(F15,Kaloriler!$A:$B,2,0),"")</f>
        <v>291</v>
      </c>
      <c r="H15" s="45" t="str">
        <f>IFERROR(VLOOKUP(H12,Data!$A:$F,4,0),"")</f>
        <v>Pey.Su Böreği</v>
      </c>
      <c r="I15" s="37">
        <f>IFERROR(VLOOKUP(H15,Kaloriler!$A:$B,2,0),"")</f>
        <v>400</v>
      </c>
      <c r="J15" s="45" t="str">
        <f>IFERROR(VLOOKUP(J12,Data!$A:$F,4,0),"")</f>
        <v>Şeh.Pirinç Pilavı</v>
      </c>
      <c r="K15" s="51">
        <f>IFERROR(VLOOKUP(J15,Kaloriler!$A:$B,2,0),"")</f>
        <v>336</v>
      </c>
      <c r="L15" s="52" t="str">
        <f>IFERROR(VLOOKUP(L12,Data!$A:$F,4,0),"")</f>
        <v>Erişte Makarna</v>
      </c>
      <c r="M15" s="26">
        <f>IFERROR(VLOOKUP(L15,Kaloriler!$A:$B,2,0),"")</f>
        <v>350</v>
      </c>
      <c r="N15" s="32" t="str">
        <f>IFERROR(VLOOKUP(N12,Data!$A:$F,4,0),"")</f>
        <v>Meyhane Pilavı</v>
      </c>
      <c r="O15" s="26">
        <f>IFERROR(VLOOKUP(N15,Kaloriler!$A:$B,2,0),"")</f>
        <v>291</v>
      </c>
    </row>
    <row r="16" spans="2:15" ht="19.5" x14ac:dyDescent="0.4">
      <c r="B16" s="68" t="str">
        <f>IFERROR(VLOOKUP(B12,Data!$A:$F,5,0),"")</f>
        <v>Yoğurt</v>
      </c>
      <c r="C16" s="37">
        <f>IFERROR(VLOOKUP(B16,Kaloriler!$A:$B,2,0),"")</f>
        <v>140</v>
      </c>
      <c r="D16" s="25" t="str">
        <f>IFERROR(VLOOKUP(D12,Data!$A:$F,5,0),"")</f>
        <v>Yoğurt</v>
      </c>
      <c r="E16" s="37">
        <f>IFERROR(VLOOKUP(D16,Kaloriler!$A:$B,2,0),"")</f>
        <v>140</v>
      </c>
      <c r="F16" s="25" t="str">
        <f>IFERROR(VLOOKUP(F12,Data!$A:$F,5,0),"")</f>
        <v>Yoğurt</v>
      </c>
      <c r="G16" s="26">
        <f>IFERROR(VLOOKUP(F16,Kaloriler!$A:$B,2,0),"")</f>
        <v>140</v>
      </c>
      <c r="H16" s="25" t="str">
        <f>IFERROR(VLOOKUP(H12,Data!$A:$F,5,0),"")</f>
        <v>Yoğurt</v>
      </c>
      <c r="I16" s="37">
        <f>IFERROR(VLOOKUP(H16,Kaloriler!$A:$B,2,0),"")</f>
        <v>140</v>
      </c>
      <c r="J16" s="25" t="str">
        <f>IFERROR(VLOOKUP(J12,Data!$A:$F,5,0),"")</f>
        <v>Yoğurt</v>
      </c>
      <c r="K16" s="26">
        <f>IFERROR(VLOOKUP(J16,Kaloriler!$A:$B,2,0),"")</f>
        <v>140</v>
      </c>
      <c r="L16" s="25" t="str">
        <f>IFERROR(VLOOKUP(L12,Data!$A:$F,5,0),"")</f>
        <v>Yoğurt</v>
      </c>
      <c r="M16" s="26">
        <f>IFERROR(VLOOKUP(L16,Kaloriler!$A:$B,2,0),"")</f>
        <v>140</v>
      </c>
      <c r="N16" s="53" t="str">
        <f>IFERROR(VLOOKUP(N12,Data!$A:$F,5,0),"")</f>
        <v>Yoğurt</v>
      </c>
      <c r="O16" s="26">
        <f>IFERROR(VLOOKUP(N16,Kaloriler!$A:$B,2,0),"")</f>
        <v>140</v>
      </c>
    </row>
    <row r="17" spans="2:15" ht="20.25" thickBot="1" x14ac:dyDescent="0.45">
      <c r="B17" s="45" t="str">
        <f>IFERROR(VLOOKUP(B12,Data!$A:$F,6,0),"")</f>
        <v>Meyve</v>
      </c>
      <c r="C17" s="54">
        <f>IFERROR(VLOOKUP(B17,Kaloriler!$A:$B,2,0),"")</f>
        <v>80</v>
      </c>
      <c r="D17" s="55" t="str">
        <f>IFERROR(VLOOKUP(D12,Data!$A:$F,6,0),"")</f>
        <v>Turşu</v>
      </c>
      <c r="E17" s="37">
        <f>IFERROR(VLOOKUP(D17,Kaloriler!$A:$B,2,0),"")</f>
        <v>200</v>
      </c>
      <c r="F17" s="55" t="str">
        <f>IFERROR(VLOOKUP(F12,Data!$A:$F,6,0),"")</f>
        <v>Endülüs Salata</v>
      </c>
      <c r="G17" s="31">
        <f>IFERROR(VLOOKUP(F17,Kaloriler!$A:$B,2,0),"")</f>
        <v>150</v>
      </c>
      <c r="H17" s="55" t="str">
        <f>IFERROR(VLOOKUP(H12,Data!$A:$F,6,0),"")</f>
        <v>Komposto</v>
      </c>
      <c r="I17" s="54">
        <f>IFERROR(VLOOKUP(H17,Kaloriler!$A:$B,2,0),"")</f>
        <v>200</v>
      </c>
      <c r="J17" s="55" t="str">
        <f>IFERROR(VLOOKUP(J12,Data!$A:$F,6,0),"")</f>
        <v>Karamel Şelalesi</v>
      </c>
      <c r="K17" s="31">
        <f>IFERROR(VLOOKUP(J17,Kaloriler!$A:$B,2,0),"")</f>
        <v>215</v>
      </c>
      <c r="L17" s="55" t="str">
        <f>IFERROR(VLOOKUP(L12,Data!$A:$F,6,0),"")</f>
        <v>Tavuk Göğsü</v>
      </c>
      <c r="M17" s="31">
        <f>IFERROR(VLOOKUP(L17,Kaloriler!$A:$B,2,0),"")</f>
        <v>224</v>
      </c>
      <c r="N17" s="56" t="str">
        <f>IFERROR(VLOOKUP(N12,Data!$A:$F,6,0),"")</f>
        <v>Meyve</v>
      </c>
      <c r="O17" s="31">
        <f>IFERROR(VLOOKUP(N17,Kaloriler!$A:$B,2,0),"")</f>
        <v>80</v>
      </c>
    </row>
    <row r="18" spans="2:15" ht="23.25" thickBot="1" x14ac:dyDescent="0.3">
      <c r="B18" s="17">
        <f>N12+1</f>
        <v>43535</v>
      </c>
      <c r="C18" s="72" t="s">
        <v>8</v>
      </c>
      <c r="D18" s="17">
        <f>B18+1</f>
        <v>43536</v>
      </c>
      <c r="E18" s="34" t="s">
        <v>8</v>
      </c>
      <c r="F18" s="17">
        <f>D18+1</f>
        <v>43537</v>
      </c>
      <c r="G18" s="35" t="s">
        <v>8</v>
      </c>
      <c r="H18" s="17">
        <f>F18+1</f>
        <v>43538</v>
      </c>
      <c r="I18" s="34" t="s">
        <v>8</v>
      </c>
      <c r="J18" s="17">
        <f>H18+1</f>
        <v>43539</v>
      </c>
      <c r="K18" s="34"/>
      <c r="L18" s="17">
        <f>J18+1</f>
        <v>43540</v>
      </c>
      <c r="M18" s="34" t="s">
        <v>8</v>
      </c>
      <c r="N18" s="17">
        <f>L18+1</f>
        <v>43541</v>
      </c>
      <c r="O18" s="19" t="s">
        <v>8</v>
      </c>
    </row>
    <row r="19" spans="2:15" ht="19.5" x14ac:dyDescent="0.4">
      <c r="B19" s="45" t="str">
        <f>IFERROR(VLOOKUP(B18,Data!$A:$F,2,0),"")</f>
        <v>Düğün Çorba</v>
      </c>
      <c r="C19" s="57">
        <f>IFERROR(VLOOKUP(B19,Kaloriler!$A:$B,2,0),"")</f>
        <v>148</v>
      </c>
      <c r="D19" s="58" t="str">
        <f>IFERROR(VLOOKUP(D18,Data!$A:$F,2,0),"")</f>
        <v>Tarhana Çorba</v>
      </c>
      <c r="E19" s="49">
        <f>IFERROR(VLOOKUP(D19,Kaloriler!$A:$B,2,0),"")</f>
        <v>190</v>
      </c>
      <c r="F19" s="26" t="str">
        <f>IFERROR(VLOOKUP(F18,Data!$A:$F,2,0),"")</f>
        <v>Mercimek Çorba</v>
      </c>
      <c r="G19" s="26">
        <f>IFERROR(VLOOKUP(F19,Kaloriler!$A:$B,2,0),"")</f>
        <v>237</v>
      </c>
      <c r="H19" s="23" t="str">
        <f>IFERROR(VLOOKUP(H18,Data!$A:$F,2,0),"")</f>
        <v>Toyga Çorba</v>
      </c>
      <c r="I19" s="26">
        <f>IFERROR(VLOOKUP(H19,Kaloriler!$A:$B,2,0),"")</f>
        <v>153</v>
      </c>
      <c r="J19" s="26" t="str">
        <f>IFERROR(VLOOKUP(J18,Data!$A:$F,2,0),"")</f>
        <v>Antep Çorba</v>
      </c>
      <c r="K19" s="26">
        <f>IFERROR(VLOOKUP(J19,Kaloriler!$A:$B,2,0),"")</f>
        <v>237</v>
      </c>
      <c r="L19" s="24" t="str">
        <f>IFERROR(VLOOKUP(L18,Data!$A:$F,2,0),"")</f>
        <v>Mantar Çorba</v>
      </c>
      <c r="M19" s="49">
        <f>IFERROR(VLOOKUP(L19,Kaloriler!$A:$B,2,0),"")</f>
        <v>130</v>
      </c>
      <c r="N19" s="71" t="str">
        <f>IFERROR(VLOOKUP(N18,Data!$A:$F,2,0),"")</f>
        <v>Alaca Çorba</v>
      </c>
      <c r="O19" s="43">
        <f>IFERROR(VLOOKUP(N19,Kaloriler!$A:$B,2,0),"")</f>
        <v>200</v>
      </c>
    </row>
    <row r="20" spans="2:15" ht="19.5" x14ac:dyDescent="0.4">
      <c r="B20" s="45" t="str">
        <f>IFERROR(VLOOKUP(B18,Data!$A:$F,3,0),"")</f>
        <v>Gemici Kuru Fasulye</v>
      </c>
      <c r="C20" s="37">
        <f>IFERROR(VLOOKUP(B20,Kaloriler!$A:$B,2,0),"")</f>
        <v>170</v>
      </c>
      <c r="D20" s="59" t="str">
        <f>IFERROR(VLOOKUP(D18,Data!$A:$F,3,0),"")</f>
        <v>Arnavut Köfte</v>
      </c>
      <c r="E20" s="60">
        <f>IFERROR(VLOOKUP(D20,Kaloriler!$A:$B,2,0),"")</f>
        <v>400</v>
      </c>
      <c r="F20" s="45" t="str">
        <f>IFERROR(VLOOKUP(F18,Data!$A:$F,3,0),"")</f>
        <v>Kilis Tava</v>
      </c>
      <c r="G20" s="60">
        <f>IFERROR(VLOOKUP(F20,Kaloriler!$A:$B,2,0),"")</f>
        <v>310</v>
      </c>
      <c r="H20" s="76" t="str">
        <f>IFERROR(VLOOKUP(H18,Data!$A:$F,3,0),"")</f>
        <v>Dana Haşlama</v>
      </c>
      <c r="I20" s="77">
        <f>IFERROR(VLOOKUP(H20,Kaloriler!$A:$B,2,0),"")</f>
        <v>400</v>
      </c>
      <c r="J20" s="45" t="str">
        <f>IFERROR(VLOOKUP(J18,Data!$A:$F,3,0),"")</f>
        <v>Etli Sebze Güveç</v>
      </c>
      <c r="K20" s="26">
        <f>IFERROR(VLOOKUP(J20,Kaloriler!$A:$B,2,0),"")</f>
        <v>270</v>
      </c>
      <c r="L20" s="29" t="str">
        <f>IFERROR(VLOOKUP(L18,Data!$A:$F,3,0),"")</f>
        <v>Piliç Kavurma</v>
      </c>
      <c r="M20" s="26">
        <f>IFERROR(VLOOKUP(L20,Kaloriler!$A:$B,2,0),"")</f>
        <v>400</v>
      </c>
      <c r="N20" s="53" t="str">
        <f>IFERROR(VLOOKUP(N18,Data!$A:$F,3,0),"")</f>
        <v>Patates Yahni</v>
      </c>
      <c r="O20" s="60">
        <f>IFERROR(VLOOKUP(N20,Kaloriler!$A:$B,2,0),"")</f>
        <v>300</v>
      </c>
    </row>
    <row r="21" spans="2:15" ht="19.5" x14ac:dyDescent="0.4">
      <c r="B21" s="46" t="str">
        <f>IFERROR(VLOOKUP(B18,Data!$A:$F,4,0),"")</f>
        <v>Şeh.Pirinç Pilavı</v>
      </c>
      <c r="C21" s="37">
        <f>IFERROR(VLOOKUP(B21,Kaloriler!$A:$B,2,0),"")</f>
        <v>336</v>
      </c>
      <c r="D21" s="59" t="str">
        <f>IFERROR(VLOOKUP(D18,Data!$A:$F,4,0),"")</f>
        <v>Makarna</v>
      </c>
      <c r="E21" s="26">
        <f>IFERROR(VLOOKUP(D21,Kaloriler!$A:$B,2,0),"")</f>
        <v>350</v>
      </c>
      <c r="F21" s="46" t="str">
        <f>IFERROR(VLOOKUP(F18,Data!$A:$F,4,0),"")</f>
        <v>Sarıkız Pilavı</v>
      </c>
      <c r="G21" s="51">
        <f>IFERROR(VLOOKUP(F21,Kaloriler!$A:$B,2,0),"")</f>
        <v>336</v>
      </c>
      <c r="H21" s="24" t="str">
        <f>IFERROR(VLOOKUP(H18,Data!$A:$F,4,0),"")</f>
        <v>Makarna/Ketçap</v>
      </c>
      <c r="I21" s="26">
        <f>IFERROR(VLOOKUP(H21,Kaloriler!$A:$B,2,0),"")</f>
        <v>350</v>
      </c>
      <c r="J21" s="49" t="str">
        <f>IFERROR(VLOOKUP(J18,Data!$A:$F,4,0),"")</f>
        <v>Bulgur Pilavı</v>
      </c>
      <c r="K21" s="51">
        <f>IFERROR(VLOOKUP(J21,Kaloriler!$A:$B,2,0),"")</f>
        <v>291</v>
      </c>
      <c r="L21" s="29" t="str">
        <f>IFERROR(VLOOKUP(L18,Data!$A:$F,4,0),"")</f>
        <v>Makarna</v>
      </c>
      <c r="M21" s="26">
        <f>IFERROR(VLOOKUP(L21,Kaloriler!$A:$B,2,0),"")</f>
        <v>350</v>
      </c>
      <c r="N21" s="61" t="str">
        <f>IFERROR(VLOOKUP(N18,Data!$A:$F,4,0),"")</f>
        <v>Bulgur Pilavı</v>
      </c>
      <c r="O21" s="51">
        <f>IFERROR(VLOOKUP(N21,Kaloriler!$A:$B,2,0),"")</f>
        <v>291</v>
      </c>
    </row>
    <row r="22" spans="2:15" ht="19.5" x14ac:dyDescent="0.4">
      <c r="B22" s="25" t="str">
        <f>IFERROR(VLOOKUP(B18,Data!$A:$F,5,0),"")</f>
        <v>Yoğurt</v>
      </c>
      <c r="C22" s="37">
        <f>IFERROR(VLOOKUP(B22,Kaloriler!$A:$B,2,0),"")</f>
        <v>140</v>
      </c>
      <c r="D22" s="27" t="str">
        <f>IFERROR(VLOOKUP(D18,Data!$A:$F,5,0),"")</f>
        <v>Yoğurt</v>
      </c>
      <c r="E22" s="26">
        <f>IFERROR(VLOOKUP(D22,Kaloriler!$A:$B,2,0),"")</f>
        <v>140</v>
      </c>
      <c r="F22" s="25" t="str">
        <f>IFERROR(VLOOKUP(F18,Data!$A:$F,5,0),"")</f>
        <v>Yoğurt</v>
      </c>
      <c r="G22" s="26">
        <f>IFERROR(VLOOKUP(F22,Kaloriler!$A:$B,2,0),"")</f>
        <v>140</v>
      </c>
      <c r="H22" s="28" t="str">
        <f>IFERROR(VLOOKUP(H18,Data!$A:$F,5,0),"")</f>
        <v>Yoğurt</v>
      </c>
      <c r="I22" s="26">
        <f>IFERROR(VLOOKUP(H22,Kaloriler!$A:$B,2,0),"")</f>
        <v>140</v>
      </c>
      <c r="J22" s="25" t="str">
        <f>IFERROR(VLOOKUP(J18,Data!$A:$F,5,0),"")</f>
        <v>Yoğurt</v>
      </c>
      <c r="K22" s="26">
        <f>IFERROR(VLOOKUP(J22,Kaloriler!$A:$B,2,0),"")</f>
        <v>140</v>
      </c>
      <c r="L22" s="67" t="str">
        <f>IFERROR(VLOOKUP(L18,Data!$A:$F,5,0),"")</f>
        <v>Yoğurt</v>
      </c>
      <c r="M22" s="26">
        <f>IFERROR(VLOOKUP(L22,Kaloriler!$A:$B,2,0),"")</f>
        <v>140</v>
      </c>
      <c r="N22" s="53" t="str">
        <f>IFERROR(VLOOKUP(N18,Data!$A:$F,5,0),"")</f>
        <v>Yoğurt</v>
      </c>
      <c r="O22" s="26">
        <f>IFERROR(VLOOKUP(N22,Kaloriler!$A:$B,2,0),"")</f>
        <v>140</v>
      </c>
    </row>
    <row r="23" spans="2:15" ht="20.25" thickBot="1" x14ac:dyDescent="0.45">
      <c r="B23" s="55" t="str">
        <f>IFERROR(VLOOKUP(B18,Data!$A:$F,6,0),"")</f>
        <v>Turşu</v>
      </c>
      <c r="C23" s="37">
        <f>IFERROR(VLOOKUP(B23,Kaloriler!$A:$B,2,0),"")</f>
        <v>200</v>
      </c>
      <c r="D23" s="30" t="str">
        <f>IFERROR(VLOOKUP(D18,Data!$A:$F,6,0),"")</f>
        <v>Meyve</v>
      </c>
      <c r="E23" s="31">
        <f>IFERROR(VLOOKUP(D23,Kaloriler!$A:$B,2,0),"")</f>
        <v>80</v>
      </c>
      <c r="F23" s="55" t="str">
        <f>IFERROR(VLOOKUP(F18,Data!$A:$F,6,0),"")</f>
        <v>Keşkül</v>
      </c>
      <c r="G23" s="31">
        <f>IFERROR(VLOOKUP(F23,Kaloriler!$A:$B,2,0),"")</f>
        <v>186</v>
      </c>
      <c r="H23" s="62" t="str">
        <f>IFERROR(VLOOKUP(H18,Data!$A:$F,6,0),"")</f>
        <v>Endülüs Salata</v>
      </c>
      <c r="I23" s="31">
        <f>IFERROR(VLOOKUP(H23,Kaloriler!$A:$B,2,0),"")</f>
        <v>150</v>
      </c>
      <c r="J23" s="55" t="str">
        <f>IFERROR(VLOOKUP(J18,Data!$A:$F,6,0),"")</f>
        <v>Supangle</v>
      </c>
      <c r="K23" s="31">
        <f>IFERROR(VLOOKUP(J23,Kaloriler!$A:$B,2,0),"")</f>
        <v>293</v>
      </c>
      <c r="L23" s="62" t="str">
        <f>IFERROR(VLOOKUP(L18,Data!$A:$F,6,0),"")</f>
        <v>Mevsim Salata</v>
      </c>
      <c r="M23" s="31">
        <f>IFERROR(VLOOKUP(L23,Kaloriler!$A:$B,2,0),"")</f>
        <v>150</v>
      </c>
      <c r="N23" s="32" t="str">
        <f>IFERROR(VLOOKUP(N18,Data!$A:$F,6,0),"")</f>
        <v>Meyve</v>
      </c>
      <c r="O23" s="26">
        <f>IFERROR(VLOOKUP(N23,Kaloriler!$A:$B,2,0),"")</f>
        <v>80</v>
      </c>
    </row>
    <row r="24" spans="2:15" ht="23.25" thickBot="1" x14ac:dyDescent="0.3">
      <c r="B24" s="17">
        <f>N18+1</f>
        <v>43542</v>
      </c>
      <c r="C24" s="35" t="s">
        <v>8</v>
      </c>
      <c r="D24" s="17">
        <f>B24+1</f>
        <v>43543</v>
      </c>
      <c r="E24" s="35" t="s">
        <v>8</v>
      </c>
      <c r="F24" s="17">
        <f>D24+1</f>
        <v>43544</v>
      </c>
      <c r="G24" s="35" t="s">
        <v>8</v>
      </c>
      <c r="H24" s="17">
        <f>F24+1</f>
        <v>43545</v>
      </c>
      <c r="I24" s="35" t="s">
        <v>8</v>
      </c>
      <c r="J24" s="17">
        <f>H24+1</f>
        <v>43546</v>
      </c>
      <c r="K24" s="35" t="s">
        <v>8</v>
      </c>
      <c r="L24" s="17">
        <f>J24+1</f>
        <v>43547</v>
      </c>
      <c r="M24" s="35" t="s">
        <v>8</v>
      </c>
      <c r="N24" s="17">
        <f>L24+1</f>
        <v>43548</v>
      </c>
      <c r="O24" s="35" t="s">
        <v>8</v>
      </c>
    </row>
    <row r="25" spans="2:15" ht="19.5" x14ac:dyDescent="0.4">
      <c r="B25" s="45" t="str">
        <f>IFERROR(VLOOKUP(B24,Data!$A:$F,2,0),"")</f>
        <v>Yüksük Çorba</v>
      </c>
      <c r="C25" s="26">
        <f>IFERROR(VLOOKUP(B25,Kaloriler!$A:$B,2,0),"")</f>
        <v>190</v>
      </c>
      <c r="D25" s="73" t="str">
        <f>IFERROR(VLOOKUP(D24,Data!$A:$F,2,0),"")</f>
        <v>Nazlıgöl Çorba</v>
      </c>
      <c r="E25" s="26">
        <f>IFERROR(VLOOKUP(D25,Kaloriler!$A:$B,2,0),"")</f>
        <v>230</v>
      </c>
      <c r="F25" s="45" t="str">
        <f>IFERROR(VLOOKUP(F24,Data!$A:$F,2,0),"")</f>
        <v>Şafak çorba</v>
      </c>
      <c r="G25" s="74">
        <f>IFERROR(VLOOKUP(F25,Kaloriler!$A:$B,2,0),"")</f>
        <v>170</v>
      </c>
      <c r="H25" s="25" t="str">
        <f>IFERROR(VLOOKUP(H24,Data!$A:$F,2,0),"")</f>
        <v>Tavuksuyu Çorba</v>
      </c>
      <c r="I25" s="26">
        <f>IFERROR(VLOOKUP(H25,Kaloriler!$A:$B,2,0),"")</f>
        <v>148</v>
      </c>
      <c r="J25" s="20" t="str">
        <f>IFERROR(VLOOKUP(J24,Data!$A:$F,2,0),"")</f>
        <v>Tel Şehriye Çorba</v>
      </c>
      <c r="K25" s="49">
        <f>IFERROR(VLOOKUP(J25,Kaloriler!$A:$B,2,0),"")</f>
        <v>150</v>
      </c>
      <c r="L25" s="46" t="str">
        <f>IFERROR(VLOOKUP(L24,Data!$A:$F,2,0),"")</f>
        <v>Alaca Çorba</v>
      </c>
      <c r="M25" s="26">
        <f>IFERROR(VLOOKUP(L25,Kaloriler!$A:$B,2,0),"")</f>
        <v>200</v>
      </c>
      <c r="N25" s="53" t="str">
        <f>IFERROR(VLOOKUP(N24,Data!$A:$F,2,0),"")</f>
        <v>Arpa Şehriye Çorba</v>
      </c>
      <c r="O25" s="26">
        <f>IFERROR(VLOOKUP(N25,Kaloriler!$A:$B,2,0),"")</f>
        <v>153</v>
      </c>
    </row>
    <row r="26" spans="2:15" ht="19.5" x14ac:dyDescent="0.4">
      <c r="B26" s="46" t="str">
        <f>IFERROR(VLOOKUP(B24,Data!$A:$F,3,0),"")</f>
        <v>Yörük Köfte/Küp Patates Kız.</v>
      </c>
      <c r="C26" s="60">
        <f>IFERROR(VLOOKUP(B26,Kaloriler!$A:$B,2,0),"")</f>
        <v>400</v>
      </c>
      <c r="D26" s="45" t="str">
        <f>IFERROR(VLOOKUP(D24,Data!$A:$F,3,0),"")</f>
        <v>Gemici Nohut</v>
      </c>
      <c r="E26" s="26">
        <f>IFERROR(VLOOKUP(D26,Kaloriler!$A:$B,2,0),"")</f>
        <v>170</v>
      </c>
      <c r="F26" s="46" t="str">
        <f>IFERROR(VLOOKUP(F24,Data!$A:$F,3,0),"")</f>
        <v>Kadınbudu Köfte/Çörekotlu Püre</v>
      </c>
      <c r="G26" s="38">
        <f>IFERROR(VLOOKUP(F26,Kaloriler!$A:$B,2,0),"")</f>
        <v>400</v>
      </c>
      <c r="H26" s="52" t="str">
        <f>IFERROR(VLOOKUP(H24,Data!$A:$F,3,0),"")</f>
        <v>Ispanak Sufle</v>
      </c>
      <c r="I26" s="26">
        <f>IFERROR(VLOOKUP(H26,Kaloriler!$A:$B,2,0),"")</f>
        <v>300</v>
      </c>
      <c r="J26" s="23" t="str">
        <f>IFERROR(VLOOKUP(J24,Data!$A:$F,3,0),"")</f>
        <v>Fırın Tavuk/Yörük Garni</v>
      </c>
      <c r="K26" s="26">
        <f>IFERROR(VLOOKUP(J26,Kaloriler!$A:$B,2,0),"")</f>
        <v>400</v>
      </c>
      <c r="L26" s="45" t="str">
        <f>IFERROR(VLOOKUP(L24,Data!$A:$F,3,0),"")</f>
        <v>Kıy.Kapuska Kalye</v>
      </c>
      <c r="M26" s="26">
        <f>IFERROR(VLOOKUP(L26,Kaloriler!$A:$B,2,0),"")</f>
        <v>300</v>
      </c>
      <c r="N26" s="53" t="str">
        <f>IFERROR(VLOOKUP(N24,Data!$A:$F,3,0),"")</f>
        <v>Piliç Şinitzel/Elma Dilimli Patates</v>
      </c>
      <c r="O26" s="26">
        <f>IFERROR(VLOOKUP(N26,Kaloriler!$A:$B,2,0),"")</f>
        <v>400</v>
      </c>
    </row>
    <row r="27" spans="2:15" ht="19.5" x14ac:dyDescent="0.4">
      <c r="B27" s="46" t="str">
        <f>IFERROR(VLOOKUP(B24,Data!$A:$F,4,0),"")</f>
        <v>Bulgur Pilavı</v>
      </c>
      <c r="C27" s="26">
        <f>IFERROR(VLOOKUP(B27,Kaloriler!$A:$B,2,0),"")</f>
        <v>291</v>
      </c>
      <c r="D27" s="46" t="str">
        <f>IFERROR(VLOOKUP(D24,Data!$A:$F,4,0),"")</f>
        <v>Şeh.Pirinç Pilavı</v>
      </c>
      <c r="E27" s="26">
        <f>IFERROR(VLOOKUP(D27,Kaloriler!$A:$B,2,0),"")</f>
        <v>336</v>
      </c>
      <c r="F27" s="46" t="str">
        <f>IFERROR(VLOOKUP(F24,Data!$A:$F,4,0),"")</f>
        <v>Makarna/Ketçap</v>
      </c>
      <c r="G27" s="37">
        <f>IFERROR(VLOOKUP(F27,Kaloriler!$A:$B,2,0),"")</f>
        <v>350</v>
      </c>
      <c r="H27" s="46" t="str">
        <f>IFERROR(VLOOKUP(H24,Data!$A:$F,4,0),"")</f>
        <v>Pey.Kol Börek</v>
      </c>
      <c r="I27" s="26">
        <f>IFERROR(VLOOKUP(H27,Kaloriler!$A:$B,2,0),"")</f>
        <v>400</v>
      </c>
      <c r="J27" s="24" t="str">
        <f>IFERROR(VLOOKUP(J24,Data!$A:$F,4,0),"")</f>
        <v>Pirinç Pilavı</v>
      </c>
      <c r="K27" s="26">
        <f>IFERROR(VLOOKUP(J27,Kaloriler!$A:$B,2,0),"")</f>
        <v>336</v>
      </c>
      <c r="L27" s="46" t="str">
        <f>IFERROR(VLOOKUP(L24,Data!$A:$F,4,0),"")</f>
        <v>Makarna</v>
      </c>
      <c r="M27" s="26">
        <f>IFERROR(VLOOKUP(L27,Kaloriler!$A:$B,2,0),"")</f>
        <v>350</v>
      </c>
      <c r="N27" s="53" t="str">
        <f>IFERROR(VLOOKUP(N24,Data!$A:$F,4,0),"")</f>
        <v>Makarna/Ketçap</v>
      </c>
      <c r="O27" s="26">
        <f>IFERROR(VLOOKUP(N27,Kaloriler!$A:$B,2,0),"")</f>
        <v>350</v>
      </c>
    </row>
    <row r="28" spans="2:15" ht="19.5" x14ac:dyDescent="0.4">
      <c r="B28" s="25" t="str">
        <f>IFERROR(VLOOKUP(B24,Data!$A:$F,5,0),"")</f>
        <v>Yoğurt</v>
      </c>
      <c r="C28" s="26">
        <f>IFERROR(VLOOKUP(B28,Kaloriler!$A:$B,2,0),"")</f>
        <v>140</v>
      </c>
      <c r="D28" s="25" t="str">
        <f>IFERROR(VLOOKUP(D24,Data!$A:$F,5,0),"")</f>
        <v>Yoğurt</v>
      </c>
      <c r="E28" s="26">
        <f>IFERROR(VLOOKUP(D28,Kaloriler!$A:$B,2,0),"")</f>
        <v>140</v>
      </c>
      <c r="F28" s="25" t="str">
        <f>IFERROR(VLOOKUP(F24,Data!$A:$F,5,0),"")</f>
        <v>Yoğurt</v>
      </c>
      <c r="G28" s="37">
        <f>IFERROR(VLOOKUP(F28,Kaloriler!$A:$B,2,0),"")</f>
        <v>140</v>
      </c>
      <c r="H28" s="45" t="str">
        <f>IFERROR(VLOOKUP(H24,Data!$A:$F,5,0),"")</f>
        <v>Yoğurt</v>
      </c>
      <c r="I28" s="26">
        <f>IFERROR(VLOOKUP(H28,Kaloriler!$A:$B,2,0),"")</f>
        <v>140</v>
      </c>
      <c r="J28" s="25" t="str">
        <f>IFERROR(VLOOKUP(J24,Data!$A:$F,5,0),"")</f>
        <v>Yoğurt</v>
      </c>
      <c r="K28" s="26">
        <f>IFERROR(VLOOKUP(J28,Kaloriler!$A:$B,2,0),"")</f>
        <v>140</v>
      </c>
      <c r="L28" s="25" t="str">
        <f>IFERROR(VLOOKUP(L24,Data!$A:$F,5,0),"")</f>
        <v>Yoğurt</v>
      </c>
      <c r="M28" s="26">
        <f>IFERROR(VLOOKUP(L28,Kaloriler!$A:$B,2,0),"")</f>
        <v>140</v>
      </c>
      <c r="N28" s="53" t="str">
        <f>IFERROR(VLOOKUP(N24,Data!$A:$F,5,0),"")</f>
        <v>Yoğurt</v>
      </c>
      <c r="O28" s="26">
        <f>IFERROR(VLOOKUP(N28,Kaloriler!$A:$B,2,0),"")</f>
        <v>140</v>
      </c>
    </row>
    <row r="29" spans="2:15" ht="20.25" thickBot="1" x14ac:dyDescent="0.45">
      <c r="B29" s="55" t="str">
        <f>IFERROR(VLOOKUP(B24,Data!$A:$F,6,0),"")</f>
        <v>Meyve</v>
      </c>
      <c r="C29" s="31">
        <f>IFERROR(VLOOKUP(B29,Kaloriler!$A:$B,2,0),"")</f>
        <v>80</v>
      </c>
      <c r="D29" s="55" t="str">
        <f>IFERROR(VLOOKUP(D24,Data!$A:$F,6,0),"")</f>
        <v>Turşu</v>
      </c>
      <c r="E29" s="31">
        <f>IFERROR(VLOOKUP(D29,Kaloriler!$A:$B,2,0),"")</f>
        <v>200</v>
      </c>
      <c r="F29" s="55" t="str">
        <f>IFERROR(VLOOKUP(F24,Data!$A:$F,6,0),"")</f>
        <v>Hindistan Cevizli Muhallebi</v>
      </c>
      <c r="G29" s="54">
        <f>IFERROR(VLOOKUP(F29,Kaloriler!$A:$B,2,0),"")</f>
        <v>205</v>
      </c>
      <c r="H29" s="55" t="str">
        <f>IFERROR(VLOOKUP(H24,Data!$A:$F,6,0),"")</f>
        <v>Komposto</v>
      </c>
      <c r="I29" s="31">
        <f>IFERROR(VLOOKUP(H29,Kaloriler!$A:$B,2,0),"")</f>
        <v>200</v>
      </c>
      <c r="J29" s="62" t="str">
        <f>IFERROR(VLOOKUP(J24,Data!$A:$F,6,0),"")</f>
        <v>Yedigün</v>
      </c>
      <c r="K29" s="31">
        <f>IFERROR(VLOOKUP(J29,Kaloriler!$A:$B,2,0),"")</f>
        <v>78</v>
      </c>
      <c r="L29" s="55" t="str">
        <f>IFERROR(VLOOKUP(L24,Data!$A:$F,6,0),"")</f>
        <v>Yoğurt Tatlısı</v>
      </c>
      <c r="M29" s="31">
        <f>IFERROR(VLOOKUP(L29,Kaloriler!$A:$B,2,0),"")</f>
        <v>385</v>
      </c>
      <c r="N29" s="32" t="str">
        <f>IFERROR(VLOOKUP(N24,Data!$A:$F,6,0),"")</f>
        <v>Meyve</v>
      </c>
      <c r="O29" s="26">
        <f>IFERROR(VLOOKUP(N29,Kaloriler!$A:$B,2,0),"")</f>
        <v>80</v>
      </c>
    </row>
    <row r="30" spans="2:15" ht="23.25" thickBot="1" x14ac:dyDescent="0.3">
      <c r="B30" s="17">
        <f>N24+1</f>
        <v>43549</v>
      </c>
      <c r="C30" s="35" t="s">
        <v>8</v>
      </c>
      <c r="D30" s="17">
        <f>B30+1</f>
        <v>43550</v>
      </c>
      <c r="E30" s="35" t="s">
        <v>8</v>
      </c>
      <c r="F30" s="17">
        <f>D30+1</f>
        <v>43551</v>
      </c>
      <c r="G30" s="35" t="s">
        <v>8</v>
      </c>
      <c r="H30" s="17">
        <f>F30+1</f>
        <v>43552</v>
      </c>
      <c r="I30" s="34" t="s">
        <v>8</v>
      </c>
      <c r="J30" s="17">
        <f>H30+1</f>
        <v>43553</v>
      </c>
      <c r="K30" s="35" t="s">
        <v>8</v>
      </c>
      <c r="L30" s="17">
        <f>J30+1</f>
        <v>43554</v>
      </c>
      <c r="M30" s="35" t="s">
        <v>8</v>
      </c>
      <c r="N30" s="17">
        <f>L30+1</f>
        <v>43555</v>
      </c>
      <c r="O30" s="35" t="s">
        <v>8</v>
      </c>
    </row>
    <row r="31" spans="2:15" ht="19.5" x14ac:dyDescent="0.4">
      <c r="B31" s="45" t="str">
        <f>IFERROR(VLOOKUP(B30,Data!$A:$F,2,0),"")</f>
        <v>Tavuksuyu Çorba</v>
      </c>
      <c r="C31" s="49">
        <f>IFERROR(VLOOKUP(B31,Kaloriler!$A:$B,2,0),"")</f>
        <v>148</v>
      </c>
      <c r="D31" s="29" t="str">
        <f>IFERROR(VLOOKUP(D30,Data!$A:$F,2,0),"")</f>
        <v>Toyga Çorba</v>
      </c>
      <c r="E31" s="26">
        <f>IFERROR(VLOOKUP(D31,Kaloriler!$A:$B,2,0),"")</f>
        <v>153</v>
      </c>
      <c r="F31" s="32" t="str">
        <f>IFERROR(VLOOKUP(F30,Data!$A:$F,2,0),"")</f>
        <v>Sütlü Kuskus Çorba</v>
      </c>
      <c r="G31" s="63">
        <f>IFERROR(VLOOKUP(F31,Kaloriler!$A:$B,2,0),"")</f>
        <v>200</v>
      </c>
      <c r="H31" s="45" t="str">
        <f>IFERROR(VLOOKUP(H30,Data!$A:$F,2,0),"")</f>
        <v>Yayla Çorba</v>
      </c>
      <c r="I31" s="26">
        <f>IFERROR(VLOOKUP(H31,Kaloriler!$A:$B,2,0),"")</f>
        <v>150</v>
      </c>
      <c r="J31" s="45" t="str">
        <f>IFERROR(VLOOKUP(J30,Data!$A:$F,2,0),"")</f>
        <v>Düğün Çorba</v>
      </c>
      <c r="K31" s="49">
        <f>IFERROR(VLOOKUP(J31,Kaloriler!$A:$B,2,0),"")</f>
        <v>148</v>
      </c>
      <c r="L31" s="45" t="str">
        <f>IFERROR(VLOOKUP(L30,Data!$A:$F,2,0),"")</f>
        <v>Adana Çorba</v>
      </c>
      <c r="M31" s="49">
        <f>IFERROR(VLOOKUP(L31,Kaloriler!$A:$B,2,0),"")</f>
        <v>150</v>
      </c>
      <c r="N31" s="45" t="str">
        <f>IFERROR(VLOOKUP(N30,Data!$A:$F,2,0),"")</f>
        <v>Yoğ. Erişte Çorba</v>
      </c>
      <c r="O31" s="49">
        <f>IFERROR(VLOOKUP(N31,Kaloriler!$A:$B,2,0),"")</f>
        <v>150</v>
      </c>
    </row>
    <row r="32" spans="2:15" ht="19.5" x14ac:dyDescent="0.4">
      <c r="B32" s="52" t="str">
        <f>IFERROR(VLOOKUP(B30,Data!$A:$F,3,0),"")</f>
        <v>Portakallı Kereviz</v>
      </c>
      <c r="C32" s="60">
        <f>IFERROR(VLOOKUP(B32,Kaloriler!$A:$B,2,0),"")</f>
        <v>300</v>
      </c>
      <c r="D32" s="78" t="str">
        <f>IFERROR(VLOOKUP(D30,Data!$A:$F,3,0),"")</f>
        <v>Macar Gulaş</v>
      </c>
      <c r="E32" s="79">
        <f>IFERROR(VLOOKUP(D32,Kaloriler!$A:$B,2,0),"")</f>
        <v>400</v>
      </c>
      <c r="F32" s="61" t="str">
        <f>IFERROR(VLOOKUP(F30,Data!$A:$F,3,0),"")</f>
        <v>Kıymalı Bezelye</v>
      </c>
      <c r="G32" s="63">
        <f>IFERROR(VLOOKUP(F32,Kaloriler!$A:$B,2,0),"")</f>
        <v>300</v>
      </c>
      <c r="H32" s="45" t="str">
        <f>IFERROR(VLOOKUP(H30,Data!$A:$F,3,0),"")</f>
        <v>Izgara Köfte/Amerikan Garni</v>
      </c>
      <c r="I32" s="60">
        <f>IFERROR(VLOOKUP(H32,Kaloriler!$A:$B,2,0),"")</f>
        <v>400</v>
      </c>
      <c r="J32" s="52" t="str">
        <f>IFERROR(VLOOKUP(J30,Data!$A:$F,3,0),"")</f>
        <v>Patates Musakka</v>
      </c>
      <c r="K32" s="60">
        <f>IFERROR(VLOOKUP(J32,Kaloriler!$A:$B,2,0),"")</f>
        <v>300</v>
      </c>
      <c r="L32" s="52" t="str">
        <f>IFERROR(VLOOKUP(L30,Data!$A:$F,3,0),"")</f>
        <v>Kadayıflı Çıtır Kapl.Piliç /Küp Pat.Kız.</v>
      </c>
      <c r="M32" s="60">
        <f>IFERROR(VLOOKUP(L32,Kaloriler!$A:$B,2,0),"")</f>
        <v>400</v>
      </c>
      <c r="N32" s="52" t="str">
        <f>IFERROR(VLOOKUP(N30,Data!$A:$F,3,0),"")</f>
        <v>Kürdan Köfte</v>
      </c>
      <c r="O32" s="60">
        <f>IFERROR(VLOOKUP(N32,Kaloriler!$A:$B,2,0),"")</f>
        <v>400</v>
      </c>
    </row>
    <row r="33" spans="2:15" ht="19.5" x14ac:dyDescent="0.4">
      <c r="B33" s="52" t="str">
        <f>IFERROR(VLOOKUP(B30,Data!$A:$F,4,0),"")</f>
        <v>Şeh.Pirinç Pilavı</v>
      </c>
      <c r="C33" s="26">
        <f>IFERROR(VLOOKUP(B33,Kaloriler!$A:$B,2,0),"")</f>
        <v>336</v>
      </c>
      <c r="D33" s="29" t="str">
        <f>IFERROR(VLOOKUP(D30,Data!$A:$F,4,0),"")</f>
        <v>Makarna</v>
      </c>
      <c r="E33" s="26">
        <f>IFERROR(VLOOKUP(D33,Kaloriler!$A:$B,2,0),"")</f>
        <v>350</v>
      </c>
      <c r="F33" s="28" t="str">
        <f>IFERROR(VLOOKUP(F30,Data!$A:$F,4,0),"")</f>
        <v>Şeh.Pirinç Pilavı</v>
      </c>
      <c r="G33" s="64">
        <f>IFERROR(VLOOKUP(F33,Kaloriler!$A:$B,2,0),"")</f>
        <v>336</v>
      </c>
      <c r="H33" s="45" t="str">
        <f>IFERROR(VLOOKUP(H30,Data!$A:$F,4,0),"")</f>
        <v>Meyhane Pilavı</v>
      </c>
      <c r="I33" s="26">
        <f>IFERROR(VLOOKUP(H33,Kaloriler!$A:$B,2,0),"")</f>
        <v>291</v>
      </c>
      <c r="J33" s="52" t="str">
        <f>IFERROR(VLOOKUP(J30,Data!$A:$F,4,0),"")</f>
        <v>Şeh.Pirinç Pilavı</v>
      </c>
      <c r="K33" s="26">
        <f>IFERROR(VLOOKUP(J33,Kaloriler!$A:$B,2,0),"")</f>
        <v>336</v>
      </c>
      <c r="L33" s="52" t="str">
        <f>IFERROR(VLOOKUP(L30,Data!$A:$F,4,0),"")</f>
        <v>Makarna/Ketçap</v>
      </c>
      <c r="M33" s="26">
        <f>IFERROR(VLOOKUP(L33,Kaloriler!$A:$B,2,0),"")</f>
        <v>350</v>
      </c>
      <c r="N33" s="52" t="str">
        <f>IFERROR(VLOOKUP(N30,Data!$A:$F,4,0),"")</f>
        <v>Bulgur Pilavı</v>
      </c>
      <c r="O33" s="26">
        <f>IFERROR(VLOOKUP(N33,Kaloriler!$A:$B,2,0),"")</f>
        <v>291</v>
      </c>
    </row>
    <row r="34" spans="2:15" ht="19.5" x14ac:dyDescent="0.4">
      <c r="B34" s="68" t="str">
        <f>IFERROR(VLOOKUP(B30,Data!$A:$F,5,0),"")</f>
        <v>Yoğurt</v>
      </c>
      <c r="C34" s="26">
        <f>IFERROR(VLOOKUP(B34,Kaloriler!$A:$B,2,0),"")</f>
        <v>140</v>
      </c>
      <c r="D34" s="28" t="str">
        <f>IFERROR(VLOOKUP(D30,Data!$A:$F,5,0),"")</f>
        <v>Yoğurt</v>
      </c>
      <c r="E34" s="26">
        <f>IFERROR(VLOOKUP(D34,Kaloriler!$A:$B,2,0),"")</f>
        <v>140</v>
      </c>
      <c r="F34" s="53" t="str">
        <f>IFERROR(VLOOKUP(F30,Data!$A:$F,5,0),"")</f>
        <v>Yoğurt</v>
      </c>
      <c r="G34" s="63">
        <f>IFERROR(VLOOKUP(F34,Kaloriler!$A:$B,2,0),"")</f>
        <v>140</v>
      </c>
      <c r="H34" s="25" t="str">
        <f>IFERROR(VLOOKUP(H30,Data!$A:$F,5,0),"")</f>
        <v>Yoğurt</v>
      </c>
      <c r="I34" s="26">
        <f>IFERROR(VLOOKUP(H34,Kaloriler!$A:$B,2,0),"")</f>
        <v>140</v>
      </c>
      <c r="J34" s="68" t="str">
        <f>IFERROR(VLOOKUP(J30,Data!$A:$F,5,0),"")</f>
        <v>Yoğurt</v>
      </c>
      <c r="K34" s="26">
        <f>IFERROR(VLOOKUP(J34,Kaloriler!$A:$B,2,0),"")</f>
        <v>140</v>
      </c>
      <c r="L34" s="68" t="str">
        <f>IFERROR(VLOOKUP(L30,Data!$A:$F,5,0),"")</f>
        <v>Yoğurt</v>
      </c>
      <c r="M34" s="26">
        <f>IFERROR(VLOOKUP(L34,Kaloriler!$A:$B,2,0),"")</f>
        <v>140</v>
      </c>
      <c r="N34" s="68" t="str">
        <f>IFERROR(VLOOKUP(N30,Data!$A:$F,5,0),"")</f>
        <v>Yoğurt</v>
      </c>
      <c r="O34" s="26">
        <f>IFERROR(VLOOKUP(N34,Kaloriler!$A:$B,2,0),"")</f>
        <v>140</v>
      </c>
    </row>
    <row r="35" spans="2:15" ht="20.25" thickBot="1" x14ac:dyDescent="0.45">
      <c r="B35" s="55" t="str">
        <f>IFERROR(VLOOKUP(B30,Data!$A:$F,6,0),"")</f>
        <v>Kazandibi</v>
      </c>
      <c r="C35" s="31">
        <f>IFERROR(VLOOKUP(B35,Kaloriler!$A:$B,2,0),"")</f>
        <v>282</v>
      </c>
      <c r="D35" s="62" t="str">
        <f>IFERROR(VLOOKUP(D30,Data!$A:$F,6,0),"")</f>
        <v>Meyve</v>
      </c>
      <c r="E35" s="31">
        <f>IFERROR(VLOOKUP(D35,Kaloriler!$A:$B,2,0),"")</f>
        <v>80</v>
      </c>
      <c r="F35" s="56" t="str">
        <f>IFERROR(VLOOKUP(F30,Data!$A:$F,6,0),"")</f>
        <v>Komposto</v>
      </c>
      <c r="G35" s="54">
        <f>IFERROR(VLOOKUP(F35,Kaloriler!$A:$B,2,0),"")</f>
        <v>200</v>
      </c>
      <c r="H35" s="55" t="str">
        <f>IFERROR(VLOOKUP(H30,Data!$A:$F,6,0),"")</f>
        <v>Mevsim Salata</v>
      </c>
      <c r="I35" s="31">
        <f>IFERROR(VLOOKUP(H35,Kaloriler!$A:$B,2,0),"")</f>
        <v>150</v>
      </c>
      <c r="J35" s="55" t="str">
        <f>IFERROR(VLOOKUP(J30,Data!$A:$F,6,0),"")</f>
        <v>Şekerpare</v>
      </c>
      <c r="K35" s="31">
        <f>IFERROR(VLOOKUP(J35,Kaloriler!$A:$B,2,0),"")</f>
        <v>385</v>
      </c>
      <c r="L35" s="55" t="str">
        <f>IFERROR(VLOOKUP(L30,Data!$A:$F,6,0),"")</f>
        <v>Kış Salata</v>
      </c>
      <c r="M35" s="31">
        <f>IFERROR(VLOOKUP(L35,Kaloriler!$A:$B,2,0),"")</f>
        <v>150</v>
      </c>
      <c r="N35" s="55" t="str">
        <f>IFERROR(VLOOKUP(N30,Data!$A:$F,6,0),"")</f>
        <v>Meyve</v>
      </c>
      <c r="O35" s="31">
        <f>IFERROR(VLOOKUP(N35,Kaloriler!$A:$B,2,0),"")</f>
        <v>80</v>
      </c>
    </row>
    <row r="37" spans="2:15" x14ac:dyDescent="0.25">
      <c r="H37" t="str">
        <f>IFERROR(VLOOKUP(H36,Data!$A:$F,2,0),"")</f>
        <v/>
      </c>
      <c r="I37" t="str">
        <f>IFERROR(VLOOKUP(H37,Kaloriler!$A:$B,2,0),"")</f>
        <v/>
      </c>
      <c r="J37" t="str">
        <f>IFERROR(VLOOKUP(J36,Data!$A:$F,2,0),"")</f>
        <v/>
      </c>
      <c r="K37" t="str">
        <f>IFERROR(VLOOKUP(J37,Kaloriler!$A:$B,2,0),"")</f>
        <v/>
      </c>
      <c r="L37" t="str">
        <f>IFERROR(VLOOKUP(L36,Data!$A:$F,2,0),"")</f>
        <v/>
      </c>
      <c r="M37" t="str">
        <f>IFERROR(VLOOKUP(L37,Kaloriler!$A:$B,2,0),"")</f>
        <v/>
      </c>
      <c r="N37" t="str">
        <f>IFERROR(VLOOKUP(N36,Data!$A:$F,2,0),"")</f>
        <v/>
      </c>
      <c r="O37" t="str">
        <f>IFERROR(VLOOKUP(N37,Kaloriler!$A:$B,2,0),"")</f>
        <v/>
      </c>
    </row>
    <row r="38" spans="2:15" x14ac:dyDescent="0.25">
      <c r="H38" t="str">
        <f>IFERROR(VLOOKUP(H36,Data!$A:$F,3,0),"")</f>
        <v/>
      </c>
      <c r="I38" t="str">
        <f>IFERROR(VLOOKUP(H38,Kaloriler!$A:$B,2,0),"")</f>
        <v/>
      </c>
      <c r="J38" t="str">
        <f>IFERROR(VLOOKUP(J36,Data!$A:$F,3,0),"")</f>
        <v/>
      </c>
      <c r="K38" t="str">
        <f>IFERROR(VLOOKUP(J38,Kaloriler!$A:$B,2,0),"")</f>
        <v/>
      </c>
      <c r="L38" t="str">
        <f>IFERROR(VLOOKUP(L36,Data!$A:$F,3,0),"")</f>
        <v/>
      </c>
      <c r="M38" t="str">
        <f>IFERROR(VLOOKUP(L38,Kaloriler!$A:$B,2,0),"")</f>
        <v/>
      </c>
      <c r="N38" t="str">
        <f>IFERROR(VLOOKUP(N36,Data!$A:$F,3,0),"")</f>
        <v/>
      </c>
      <c r="O38" t="str">
        <f>IFERROR(VLOOKUP(N38,Kaloriler!$A:$B,2,0),"")</f>
        <v/>
      </c>
    </row>
    <row r="39" spans="2:15" x14ac:dyDescent="0.25">
      <c r="H39" t="str">
        <f>IFERROR(VLOOKUP(H36,Data!$A:$F,4,0),"")</f>
        <v/>
      </c>
      <c r="I39" t="str">
        <f>IFERROR(VLOOKUP(H39,Kaloriler!$A:$B,2,0),"")</f>
        <v/>
      </c>
      <c r="J39" t="str">
        <f>IFERROR(VLOOKUP(J36,Data!$A:$F,4,0),"")</f>
        <v/>
      </c>
      <c r="K39" t="str">
        <f>IFERROR(VLOOKUP(J39,Kaloriler!$A:$B,2,0),"")</f>
        <v/>
      </c>
      <c r="L39" t="str">
        <f>IFERROR(VLOOKUP(L36,Data!$A:$F,4,0),"")</f>
        <v/>
      </c>
      <c r="M39" t="str">
        <f>IFERROR(VLOOKUP(L39,Kaloriler!$A:$B,2,0),"")</f>
        <v/>
      </c>
      <c r="N39" t="str">
        <f>IFERROR(VLOOKUP(N36,Data!$A:$F,4,0),"")</f>
        <v/>
      </c>
      <c r="O39" t="str">
        <f>IFERROR(VLOOKUP(N39,Kaloriler!$A:$B,2,0),"")</f>
        <v/>
      </c>
    </row>
    <row r="40" spans="2:15" x14ac:dyDescent="0.25">
      <c r="H40" t="str">
        <f>IFERROR(VLOOKUP(H36,Data!$A:$F,5,0),"")</f>
        <v/>
      </c>
      <c r="I40" t="str">
        <f>IFERROR(VLOOKUP(H40,Kaloriler!$A:$B,2,0),"")</f>
        <v/>
      </c>
      <c r="J40" t="str">
        <f>IFERROR(VLOOKUP(J36,Data!$A:$F,5,0),"")</f>
        <v/>
      </c>
      <c r="K40" t="str">
        <f>IFERROR(VLOOKUP(J40,Kaloriler!$A:$B,2,0),"")</f>
        <v/>
      </c>
      <c r="L40" t="str">
        <f>IFERROR(VLOOKUP(L36,Data!$A:$F,5,0),"")</f>
        <v/>
      </c>
      <c r="M40" t="str">
        <f>IFERROR(VLOOKUP(L40,Kaloriler!$A:$B,2,0),"")</f>
        <v/>
      </c>
      <c r="N40" t="str">
        <f>IFERROR(VLOOKUP(N36,Data!$A:$F,5,0),"")</f>
        <v/>
      </c>
      <c r="O40" t="str">
        <f>IFERROR(VLOOKUP(N40,Kaloriler!$A:$B,2,0),"")</f>
        <v/>
      </c>
    </row>
    <row r="41" spans="2:15" x14ac:dyDescent="0.25">
      <c r="H41" t="str">
        <f>IFERROR(VLOOKUP(H36,Data!$A:$F,6,0),"")</f>
        <v/>
      </c>
      <c r="I41" t="str">
        <f>IFERROR(VLOOKUP(H41,Kaloriler!$A:$B,2,0),"")</f>
        <v/>
      </c>
      <c r="J41" t="str">
        <f>IFERROR(VLOOKUP(J36,Data!$A:$F,6,0),"")</f>
        <v/>
      </c>
      <c r="K41" t="str">
        <f>IFERROR(VLOOKUP(J41,Kaloriler!$A:$B,2,0),"")</f>
        <v/>
      </c>
      <c r="L41" t="str">
        <f>IFERROR(VLOOKUP(L36,Data!$A:$F,6,0),"")</f>
        <v/>
      </c>
      <c r="M41" t="str">
        <f>IFERROR(VLOOKUP(L41,Kaloriler!$A:$B,2,0),"")</f>
        <v/>
      </c>
      <c r="N41" t="str">
        <f>IFERROR(VLOOKUP(N36,Data!$A:$F,6,0),"")</f>
        <v/>
      </c>
      <c r="O41" t="str">
        <f>IFERROR(VLOOKUP(N41,Kaloriler!$A:$B,2,0),"")</f>
        <v/>
      </c>
    </row>
  </sheetData>
  <mergeCells count="1">
    <mergeCell ref="C4:D4"/>
  </mergeCells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F122"/>
  <sheetViews>
    <sheetView topLeftCell="A76" workbookViewId="0">
      <selection activeCell="D104" sqref="D104"/>
    </sheetView>
  </sheetViews>
  <sheetFormatPr defaultRowHeight="15" x14ac:dyDescent="0.25"/>
  <cols>
    <col min="1" max="1" width="10.140625" bestFit="1" customWidth="1"/>
    <col min="2" max="2" width="25.85546875" customWidth="1"/>
    <col min="3" max="3" width="34.7109375" bestFit="1" customWidth="1"/>
    <col min="4" max="6" width="25.85546875" customWidth="1"/>
  </cols>
  <sheetData>
    <row r="1" spans="1:6" s="65" customFormat="1" x14ac:dyDescent="0.25">
      <c r="A1" s="65" t="s">
        <v>68</v>
      </c>
      <c r="B1" s="65" t="s">
        <v>70</v>
      </c>
      <c r="C1" s="65" t="s">
        <v>71</v>
      </c>
      <c r="D1" s="65" t="s">
        <v>72</v>
      </c>
      <c r="E1" s="65" t="s">
        <v>73</v>
      </c>
      <c r="F1" s="65" t="s">
        <v>74</v>
      </c>
    </row>
    <row r="2" spans="1:6" x14ac:dyDescent="0.25">
      <c r="A2" s="66">
        <v>43435</v>
      </c>
      <c r="B2" t="s">
        <v>9</v>
      </c>
      <c r="C2" t="s">
        <v>75</v>
      </c>
      <c r="D2" t="s">
        <v>76</v>
      </c>
      <c r="E2" t="s">
        <v>13</v>
      </c>
      <c r="F2" t="s">
        <v>77</v>
      </c>
    </row>
    <row r="3" spans="1:6" x14ac:dyDescent="0.25">
      <c r="A3" s="66">
        <v>43436</v>
      </c>
      <c r="B3" t="s">
        <v>10</v>
      </c>
      <c r="C3" t="s">
        <v>11</v>
      </c>
      <c r="D3" t="s">
        <v>12</v>
      </c>
      <c r="E3" t="s">
        <v>13</v>
      </c>
      <c r="F3" t="s">
        <v>79</v>
      </c>
    </row>
    <row r="4" spans="1:6" x14ac:dyDescent="0.25">
      <c r="A4" s="66">
        <v>43437</v>
      </c>
      <c r="B4" t="s">
        <v>14</v>
      </c>
      <c r="C4" t="s">
        <v>20</v>
      </c>
      <c r="D4" t="s">
        <v>76</v>
      </c>
      <c r="E4" t="s">
        <v>80</v>
      </c>
      <c r="F4" t="s">
        <v>29</v>
      </c>
    </row>
    <row r="5" spans="1:6" x14ac:dyDescent="0.25">
      <c r="A5" s="66">
        <v>43438</v>
      </c>
      <c r="B5" t="s">
        <v>15</v>
      </c>
      <c r="C5" t="s">
        <v>21</v>
      </c>
      <c r="D5" t="s">
        <v>25</v>
      </c>
      <c r="E5" t="s">
        <v>13</v>
      </c>
      <c r="F5" t="s">
        <v>30</v>
      </c>
    </row>
    <row r="6" spans="1:6" x14ac:dyDescent="0.25">
      <c r="A6" s="66">
        <v>43439</v>
      </c>
      <c r="B6" t="s">
        <v>16</v>
      </c>
      <c r="C6" t="s">
        <v>81</v>
      </c>
      <c r="D6" t="s">
        <v>26</v>
      </c>
      <c r="E6" t="s">
        <v>13</v>
      </c>
      <c r="F6" t="s">
        <v>31</v>
      </c>
    </row>
    <row r="7" spans="1:6" x14ac:dyDescent="0.25">
      <c r="A7" s="66">
        <v>43440</v>
      </c>
      <c r="B7" t="s">
        <v>17</v>
      </c>
      <c r="C7" t="s">
        <v>82</v>
      </c>
      <c r="D7" t="s">
        <v>83</v>
      </c>
      <c r="E7" t="s">
        <v>13</v>
      </c>
      <c r="F7" t="s">
        <v>32</v>
      </c>
    </row>
    <row r="8" spans="1:6" x14ac:dyDescent="0.25">
      <c r="A8" s="66">
        <v>43441</v>
      </c>
      <c r="B8" t="s">
        <v>18</v>
      </c>
      <c r="C8" t="s">
        <v>22</v>
      </c>
      <c r="D8" t="s">
        <v>27</v>
      </c>
      <c r="E8" t="s">
        <v>13</v>
      </c>
      <c r="F8" t="s">
        <v>33</v>
      </c>
    </row>
    <row r="9" spans="1:6" x14ac:dyDescent="0.25">
      <c r="A9" s="66">
        <v>43442</v>
      </c>
      <c r="B9" t="s">
        <v>19</v>
      </c>
      <c r="C9" t="s">
        <v>23</v>
      </c>
      <c r="D9" t="s">
        <v>28</v>
      </c>
      <c r="E9" t="s">
        <v>13</v>
      </c>
      <c r="F9" t="s">
        <v>30</v>
      </c>
    </row>
    <row r="10" spans="1:6" x14ac:dyDescent="0.25">
      <c r="A10" s="66">
        <v>43443</v>
      </c>
      <c r="B10" t="s">
        <v>84</v>
      </c>
      <c r="C10" t="s">
        <v>24</v>
      </c>
      <c r="D10" t="s">
        <v>76</v>
      </c>
      <c r="E10" t="s">
        <v>13</v>
      </c>
      <c r="F10" t="s">
        <v>34</v>
      </c>
    </row>
    <row r="11" spans="1:6" x14ac:dyDescent="0.25">
      <c r="A11" s="66">
        <v>43444</v>
      </c>
      <c r="B11" t="s">
        <v>35</v>
      </c>
      <c r="C11" t="s">
        <v>91</v>
      </c>
      <c r="D11" t="s">
        <v>44</v>
      </c>
      <c r="E11" t="s">
        <v>13</v>
      </c>
      <c r="F11" t="s">
        <v>34</v>
      </c>
    </row>
    <row r="12" spans="1:6" x14ac:dyDescent="0.25">
      <c r="A12" s="66">
        <v>43445</v>
      </c>
      <c r="B12" t="s">
        <v>9</v>
      </c>
      <c r="C12" t="s">
        <v>39</v>
      </c>
      <c r="D12" t="s">
        <v>76</v>
      </c>
      <c r="E12" t="s">
        <v>13</v>
      </c>
      <c r="F12" t="s">
        <v>45</v>
      </c>
    </row>
    <row r="13" spans="1:6" x14ac:dyDescent="0.25">
      <c r="A13" s="66">
        <v>43446</v>
      </c>
      <c r="B13" t="s">
        <v>36</v>
      </c>
      <c r="C13" t="s">
        <v>40</v>
      </c>
      <c r="D13" t="s">
        <v>44</v>
      </c>
      <c r="E13" t="s">
        <v>13</v>
      </c>
      <c r="F13" t="s">
        <v>30</v>
      </c>
    </row>
    <row r="14" spans="1:6" x14ac:dyDescent="0.25">
      <c r="A14" s="66">
        <v>43447</v>
      </c>
      <c r="B14" t="s">
        <v>37</v>
      </c>
      <c r="C14" t="s">
        <v>85</v>
      </c>
      <c r="D14" t="s">
        <v>86</v>
      </c>
      <c r="E14" t="s">
        <v>13</v>
      </c>
      <c r="F14" t="s">
        <v>46</v>
      </c>
    </row>
    <row r="15" spans="1:6" x14ac:dyDescent="0.25">
      <c r="A15" s="66">
        <v>43448</v>
      </c>
      <c r="B15" t="s">
        <v>87</v>
      </c>
      <c r="C15" t="s">
        <v>41</v>
      </c>
      <c r="D15" t="s">
        <v>64</v>
      </c>
      <c r="E15" t="s">
        <v>13</v>
      </c>
      <c r="F15" t="s">
        <v>47</v>
      </c>
    </row>
    <row r="16" spans="1:6" x14ac:dyDescent="0.25">
      <c r="A16" s="66">
        <v>43449</v>
      </c>
      <c r="B16" t="s">
        <v>38</v>
      </c>
      <c r="C16" t="s">
        <v>42</v>
      </c>
      <c r="D16" t="s">
        <v>28</v>
      </c>
      <c r="E16" t="s">
        <v>80</v>
      </c>
      <c r="F16" t="s">
        <v>48</v>
      </c>
    </row>
    <row r="17" spans="1:6" x14ac:dyDescent="0.25">
      <c r="A17" s="66">
        <v>43450</v>
      </c>
      <c r="B17" t="s">
        <v>15</v>
      </c>
      <c r="C17" t="s">
        <v>43</v>
      </c>
      <c r="D17" t="s">
        <v>26</v>
      </c>
      <c r="E17" t="s">
        <v>13</v>
      </c>
      <c r="F17" t="s">
        <v>30</v>
      </c>
    </row>
    <row r="18" spans="1:6" x14ac:dyDescent="0.25">
      <c r="A18" s="66">
        <v>43451</v>
      </c>
      <c r="B18" t="s">
        <v>49</v>
      </c>
      <c r="C18" t="s">
        <v>53</v>
      </c>
      <c r="D18" t="s">
        <v>76</v>
      </c>
      <c r="E18" t="s">
        <v>13</v>
      </c>
      <c r="F18" t="s">
        <v>31</v>
      </c>
    </row>
    <row r="19" spans="1:6" x14ac:dyDescent="0.25">
      <c r="A19" s="66">
        <v>43452</v>
      </c>
      <c r="B19" t="s">
        <v>19</v>
      </c>
      <c r="C19" t="s">
        <v>92</v>
      </c>
      <c r="D19" t="s">
        <v>44</v>
      </c>
      <c r="E19" t="s">
        <v>13</v>
      </c>
      <c r="F19" t="s">
        <v>30</v>
      </c>
    </row>
    <row r="20" spans="1:6" x14ac:dyDescent="0.25">
      <c r="A20" s="66">
        <v>43453</v>
      </c>
      <c r="B20" t="s">
        <v>50</v>
      </c>
      <c r="C20" t="s">
        <v>54</v>
      </c>
      <c r="D20" t="s">
        <v>25</v>
      </c>
      <c r="E20" t="s">
        <v>13</v>
      </c>
      <c r="F20" t="s">
        <v>57</v>
      </c>
    </row>
    <row r="21" spans="1:6" x14ac:dyDescent="0.25">
      <c r="A21" s="66">
        <v>43454</v>
      </c>
      <c r="B21" t="s">
        <v>51</v>
      </c>
      <c r="C21" t="s">
        <v>88</v>
      </c>
      <c r="D21" t="s">
        <v>44</v>
      </c>
      <c r="E21" t="s">
        <v>56</v>
      </c>
      <c r="F21" t="s">
        <v>58</v>
      </c>
    </row>
    <row r="22" spans="1:6" x14ac:dyDescent="0.25">
      <c r="A22" s="66">
        <v>43455</v>
      </c>
      <c r="B22" t="s">
        <v>18</v>
      </c>
      <c r="C22" t="s">
        <v>24</v>
      </c>
      <c r="D22" t="s">
        <v>76</v>
      </c>
      <c r="E22" t="s">
        <v>13</v>
      </c>
      <c r="F22" t="s">
        <v>77</v>
      </c>
    </row>
    <row r="23" spans="1:6" x14ac:dyDescent="0.25">
      <c r="A23" s="66">
        <v>43456</v>
      </c>
      <c r="B23" t="s">
        <v>52</v>
      </c>
      <c r="C23" t="s">
        <v>55</v>
      </c>
      <c r="D23" t="s">
        <v>12</v>
      </c>
      <c r="E23" t="s">
        <v>13</v>
      </c>
      <c r="F23" t="s">
        <v>30</v>
      </c>
    </row>
    <row r="24" spans="1:6" x14ac:dyDescent="0.25">
      <c r="A24" s="66">
        <v>43457</v>
      </c>
      <c r="B24" t="s">
        <v>38</v>
      </c>
      <c r="C24" t="s">
        <v>89</v>
      </c>
      <c r="D24" t="s">
        <v>28</v>
      </c>
      <c r="E24" t="s">
        <v>13</v>
      </c>
      <c r="F24" t="s">
        <v>90</v>
      </c>
    </row>
    <row r="25" spans="1:6" x14ac:dyDescent="0.25">
      <c r="A25" s="66">
        <v>43458</v>
      </c>
      <c r="B25" t="s">
        <v>50</v>
      </c>
      <c r="C25" t="s">
        <v>60</v>
      </c>
      <c r="D25" t="s">
        <v>44</v>
      </c>
      <c r="E25" t="s">
        <v>93</v>
      </c>
      <c r="F25" t="s">
        <v>30</v>
      </c>
    </row>
    <row r="26" spans="1:6" x14ac:dyDescent="0.25">
      <c r="A26" s="66">
        <v>43459</v>
      </c>
      <c r="B26" t="s">
        <v>14</v>
      </c>
      <c r="C26" t="s">
        <v>61</v>
      </c>
      <c r="D26" t="s">
        <v>76</v>
      </c>
      <c r="E26" t="s">
        <v>13</v>
      </c>
      <c r="F26" t="s">
        <v>66</v>
      </c>
    </row>
    <row r="27" spans="1:6" x14ac:dyDescent="0.25">
      <c r="A27" s="66">
        <v>43460</v>
      </c>
      <c r="B27" t="s">
        <v>87</v>
      </c>
      <c r="C27" t="s">
        <v>62</v>
      </c>
      <c r="D27" t="s">
        <v>28</v>
      </c>
      <c r="E27" t="s">
        <v>13</v>
      </c>
      <c r="F27" t="s">
        <v>30</v>
      </c>
    </row>
    <row r="28" spans="1:6" x14ac:dyDescent="0.25">
      <c r="A28" s="66">
        <v>43461</v>
      </c>
      <c r="B28" t="s">
        <v>59</v>
      </c>
      <c r="C28" t="s">
        <v>63</v>
      </c>
      <c r="D28" t="s">
        <v>86</v>
      </c>
      <c r="E28" t="s">
        <v>13</v>
      </c>
      <c r="F28" t="s">
        <v>31</v>
      </c>
    </row>
    <row r="29" spans="1:6" x14ac:dyDescent="0.25">
      <c r="A29" s="66">
        <v>43462</v>
      </c>
      <c r="B29" t="s">
        <v>36</v>
      </c>
      <c r="C29" t="s">
        <v>96</v>
      </c>
      <c r="D29" t="s">
        <v>64</v>
      </c>
      <c r="E29" t="s">
        <v>93</v>
      </c>
      <c r="F29" t="s">
        <v>97</v>
      </c>
    </row>
    <row r="30" spans="1:6" x14ac:dyDescent="0.25">
      <c r="A30" s="66">
        <v>43463</v>
      </c>
      <c r="B30" t="s">
        <v>15</v>
      </c>
      <c r="C30" t="s">
        <v>95</v>
      </c>
      <c r="D30" t="s">
        <v>65</v>
      </c>
      <c r="E30" t="s">
        <v>13</v>
      </c>
      <c r="F30" t="s">
        <v>45</v>
      </c>
    </row>
    <row r="31" spans="1:6" x14ac:dyDescent="0.25">
      <c r="A31" s="66">
        <v>43464</v>
      </c>
      <c r="B31" t="s">
        <v>35</v>
      </c>
      <c r="C31" t="s">
        <v>91</v>
      </c>
      <c r="D31" t="s">
        <v>12</v>
      </c>
      <c r="E31" t="s">
        <v>13</v>
      </c>
      <c r="F31" t="s">
        <v>30</v>
      </c>
    </row>
    <row r="32" spans="1:6" x14ac:dyDescent="0.25">
      <c r="A32" s="66">
        <v>43465</v>
      </c>
      <c r="B32" t="s">
        <v>67</v>
      </c>
      <c r="C32" t="s">
        <v>94</v>
      </c>
      <c r="D32" t="s">
        <v>76</v>
      </c>
      <c r="E32" t="s">
        <v>80</v>
      </c>
      <c r="F32" t="s">
        <v>77</v>
      </c>
    </row>
    <row r="33" spans="1:6" x14ac:dyDescent="0.25">
      <c r="A33" s="66">
        <v>43466</v>
      </c>
      <c r="B33" t="s">
        <v>98</v>
      </c>
      <c r="C33" t="s">
        <v>99</v>
      </c>
      <c r="D33" t="s">
        <v>100</v>
      </c>
      <c r="E33" t="s">
        <v>101</v>
      </c>
      <c r="F33" t="s">
        <v>102</v>
      </c>
    </row>
    <row r="34" spans="1:6" x14ac:dyDescent="0.25">
      <c r="A34" s="66">
        <v>43467</v>
      </c>
      <c r="B34" t="s">
        <v>50</v>
      </c>
      <c r="C34" t="s">
        <v>54</v>
      </c>
      <c r="D34" t="s">
        <v>28</v>
      </c>
      <c r="E34" t="s">
        <v>13</v>
      </c>
      <c r="F34" t="s">
        <v>29</v>
      </c>
    </row>
    <row r="35" spans="1:6" x14ac:dyDescent="0.25">
      <c r="A35" s="66">
        <v>43468</v>
      </c>
      <c r="B35" t="s">
        <v>103</v>
      </c>
      <c r="C35" t="s">
        <v>104</v>
      </c>
      <c r="D35" t="s">
        <v>44</v>
      </c>
      <c r="E35" t="s">
        <v>13</v>
      </c>
      <c r="F35" t="s">
        <v>30</v>
      </c>
    </row>
    <row r="36" spans="1:6" x14ac:dyDescent="0.25">
      <c r="A36" s="66">
        <v>43469</v>
      </c>
      <c r="B36" t="s">
        <v>105</v>
      </c>
      <c r="C36" t="s">
        <v>106</v>
      </c>
      <c r="D36" t="s">
        <v>107</v>
      </c>
      <c r="E36" t="s">
        <v>13</v>
      </c>
      <c r="F36" t="s">
        <v>90</v>
      </c>
    </row>
    <row r="37" spans="1:6" x14ac:dyDescent="0.25">
      <c r="A37" s="66">
        <v>43470</v>
      </c>
      <c r="B37" t="s">
        <v>108</v>
      </c>
      <c r="C37" t="s">
        <v>109</v>
      </c>
      <c r="D37" t="s">
        <v>144</v>
      </c>
      <c r="E37" t="s">
        <v>13</v>
      </c>
      <c r="F37" t="s">
        <v>47</v>
      </c>
    </row>
    <row r="38" spans="1:6" x14ac:dyDescent="0.25">
      <c r="A38" s="66">
        <v>43471</v>
      </c>
      <c r="B38" t="s">
        <v>110</v>
      </c>
      <c r="C38" t="s">
        <v>146</v>
      </c>
      <c r="D38" t="s">
        <v>145</v>
      </c>
      <c r="E38" t="s">
        <v>13</v>
      </c>
      <c r="F38" t="s">
        <v>34</v>
      </c>
    </row>
    <row r="39" spans="1:6" x14ac:dyDescent="0.25">
      <c r="A39" s="66">
        <v>43472</v>
      </c>
      <c r="B39" t="s">
        <v>38</v>
      </c>
      <c r="C39" t="s">
        <v>111</v>
      </c>
      <c r="D39" t="s">
        <v>27</v>
      </c>
      <c r="E39" t="s">
        <v>13</v>
      </c>
      <c r="F39" t="s">
        <v>30</v>
      </c>
    </row>
    <row r="40" spans="1:6" x14ac:dyDescent="0.25">
      <c r="A40" s="66">
        <v>43473</v>
      </c>
      <c r="B40" t="s">
        <v>112</v>
      </c>
      <c r="C40" t="s">
        <v>113</v>
      </c>
      <c r="D40" t="s">
        <v>145</v>
      </c>
      <c r="E40" t="s">
        <v>13</v>
      </c>
      <c r="F40" t="s">
        <v>45</v>
      </c>
    </row>
    <row r="41" spans="1:6" x14ac:dyDescent="0.25">
      <c r="A41" s="66">
        <v>43474</v>
      </c>
      <c r="B41" t="s">
        <v>36</v>
      </c>
      <c r="C41" t="s">
        <v>114</v>
      </c>
      <c r="D41" t="s">
        <v>25</v>
      </c>
      <c r="E41" t="s">
        <v>115</v>
      </c>
      <c r="F41" t="s">
        <v>57</v>
      </c>
    </row>
    <row r="42" spans="1:6" x14ac:dyDescent="0.25">
      <c r="A42" s="66">
        <v>43475</v>
      </c>
      <c r="B42" t="s">
        <v>15</v>
      </c>
      <c r="C42" t="s">
        <v>147</v>
      </c>
      <c r="D42" t="s">
        <v>86</v>
      </c>
      <c r="E42" t="s">
        <v>13</v>
      </c>
      <c r="F42" t="s">
        <v>116</v>
      </c>
    </row>
    <row r="43" spans="1:6" x14ac:dyDescent="0.25">
      <c r="A43" s="66">
        <v>43476</v>
      </c>
      <c r="B43" t="s">
        <v>117</v>
      </c>
      <c r="C43" t="s">
        <v>41</v>
      </c>
      <c r="D43" t="s">
        <v>118</v>
      </c>
      <c r="E43" t="s">
        <v>13</v>
      </c>
      <c r="F43" t="s">
        <v>119</v>
      </c>
    </row>
    <row r="44" spans="1:6" x14ac:dyDescent="0.25">
      <c r="A44" s="66">
        <v>43477</v>
      </c>
      <c r="B44" t="s">
        <v>105</v>
      </c>
      <c r="C44" t="s">
        <v>81</v>
      </c>
      <c r="D44" t="s">
        <v>12</v>
      </c>
      <c r="E44" t="s">
        <v>13</v>
      </c>
      <c r="F44" t="s">
        <v>120</v>
      </c>
    </row>
    <row r="45" spans="1:6" x14ac:dyDescent="0.25">
      <c r="A45" s="66">
        <v>43478</v>
      </c>
      <c r="B45" t="s">
        <v>121</v>
      </c>
      <c r="C45" t="s">
        <v>122</v>
      </c>
      <c r="D45" t="s">
        <v>28</v>
      </c>
      <c r="E45" t="s">
        <v>13</v>
      </c>
      <c r="F45" t="s">
        <v>34</v>
      </c>
    </row>
    <row r="46" spans="1:6" x14ac:dyDescent="0.25">
      <c r="A46" s="66">
        <v>43479</v>
      </c>
      <c r="B46" t="s">
        <v>67</v>
      </c>
      <c r="C46" t="s">
        <v>53</v>
      </c>
      <c r="D46" t="s">
        <v>145</v>
      </c>
      <c r="E46" t="s">
        <v>80</v>
      </c>
      <c r="F46" t="s">
        <v>123</v>
      </c>
    </row>
    <row r="47" spans="1:6" x14ac:dyDescent="0.25">
      <c r="A47" s="66">
        <v>43480</v>
      </c>
      <c r="B47" t="s">
        <v>50</v>
      </c>
      <c r="C47" t="s">
        <v>124</v>
      </c>
      <c r="D47" t="s">
        <v>44</v>
      </c>
      <c r="E47" t="s">
        <v>13</v>
      </c>
      <c r="F47" t="s">
        <v>30</v>
      </c>
    </row>
    <row r="48" spans="1:6" x14ac:dyDescent="0.25">
      <c r="A48" s="66">
        <v>43481</v>
      </c>
      <c r="B48" t="s">
        <v>14</v>
      </c>
      <c r="C48" t="s">
        <v>146</v>
      </c>
      <c r="D48" t="s">
        <v>28</v>
      </c>
      <c r="E48" t="s">
        <v>13</v>
      </c>
      <c r="F48" t="s">
        <v>125</v>
      </c>
    </row>
    <row r="49" spans="1:6" x14ac:dyDescent="0.25">
      <c r="A49" s="66">
        <v>43482</v>
      </c>
      <c r="B49" t="s">
        <v>126</v>
      </c>
      <c r="C49" t="s">
        <v>127</v>
      </c>
      <c r="D49" t="s">
        <v>64</v>
      </c>
      <c r="E49" t="s">
        <v>115</v>
      </c>
      <c r="F49" t="s">
        <v>30</v>
      </c>
    </row>
    <row r="50" spans="1:6" x14ac:dyDescent="0.25">
      <c r="A50" s="66">
        <v>43483</v>
      </c>
      <c r="B50" t="s">
        <v>15</v>
      </c>
      <c r="C50" t="s">
        <v>106</v>
      </c>
      <c r="D50" t="s">
        <v>27</v>
      </c>
      <c r="E50" t="s">
        <v>13</v>
      </c>
      <c r="F50" t="s">
        <v>34</v>
      </c>
    </row>
    <row r="51" spans="1:6" x14ac:dyDescent="0.25">
      <c r="A51" s="66">
        <v>43484</v>
      </c>
      <c r="B51" t="s">
        <v>36</v>
      </c>
      <c r="C51" t="s">
        <v>55</v>
      </c>
      <c r="D51" t="s">
        <v>145</v>
      </c>
      <c r="E51" t="s">
        <v>13</v>
      </c>
      <c r="F51" t="s">
        <v>128</v>
      </c>
    </row>
    <row r="52" spans="1:6" x14ac:dyDescent="0.25">
      <c r="A52" s="66">
        <v>43485</v>
      </c>
      <c r="B52" t="s">
        <v>50</v>
      </c>
      <c r="C52" t="s">
        <v>129</v>
      </c>
      <c r="D52" t="s">
        <v>130</v>
      </c>
      <c r="E52" t="s">
        <v>13</v>
      </c>
      <c r="F52" t="s">
        <v>34</v>
      </c>
    </row>
    <row r="53" spans="1:6" x14ac:dyDescent="0.25">
      <c r="A53" s="66">
        <v>43486</v>
      </c>
      <c r="B53" t="s">
        <v>131</v>
      </c>
      <c r="C53" t="s">
        <v>132</v>
      </c>
      <c r="D53" t="s">
        <v>44</v>
      </c>
      <c r="E53" t="s">
        <v>13</v>
      </c>
      <c r="F53" t="s">
        <v>30</v>
      </c>
    </row>
    <row r="54" spans="1:6" x14ac:dyDescent="0.25">
      <c r="A54" s="66">
        <v>43487</v>
      </c>
      <c r="B54" t="s">
        <v>18</v>
      </c>
      <c r="C54" t="s">
        <v>133</v>
      </c>
      <c r="D54" t="s">
        <v>145</v>
      </c>
      <c r="E54" t="s">
        <v>13</v>
      </c>
      <c r="F54" t="s">
        <v>66</v>
      </c>
    </row>
    <row r="55" spans="1:6" x14ac:dyDescent="0.25">
      <c r="A55" s="66">
        <v>43488</v>
      </c>
      <c r="B55" t="s">
        <v>134</v>
      </c>
      <c r="C55" t="s">
        <v>135</v>
      </c>
      <c r="D55" t="s">
        <v>44</v>
      </c>
      <c r="E55" t="s">
        <v>136</v>
      </c>
      <c r="F55" t="s">
        <v>32</v>
      </c>
    </row>
    <row r="56" spans="1:6" x14ac:dyDescent="0.25">
      <c r="A56" s="66">
        <v>43489</v>
      </c>
      <c r="B56" t="s">
        <v>105</v>
      </c>
      <c r="C56" t="s">
        <v>95</v>
      </c>
      <c r="D56" t="s">
        <v>86</v>
      </c>
      <c r="E56" t="s">
        <v>13</v>
      </c>
      <c r="F56" t="s">
        <v>33</v>
      </c>
    </row>
    <row r="57" spans="1:6" x14ac:dyDescent="0.25">
      <c r="A57" s="66">
        <v>43490</v>
      </c>
      <c r="B57" t="s">
        <v>121</v>
      </c>
      <c r="C57" t="s">
        <v>137</v>
      </c>
      <c r="D57" t="s">
        <v>25</v>
      </c>
      <c r="E57" t="s">
        <v>115</v>
      </c>
      <c r="F57" t="s">
        <v>30</v>
      </c>
    </row>
    <row r="58" spans="1:6" x14ac:dyDescent="0.25">
      <c r="A58" s="66">
        <v>43491</v>
      </c>
      <c r="B58" t="s">
        <v>138</v>
      </c>
      <c r="C58" t="s">
        <v>42</v>
      </c>
      <c r="D58" t="s">
        <v>145</v>
      </c>
      <c r="E58" t="s">
        <v>80</v>
      </c>
      <c r="F58" t="s">
        <v>48</v>
      </c>
    </row>
    <row r="59" spans="1:6" x14ac:dyDescent="0.25">
      <c r="A59" s="66">
        <v>43492</v>
      </c>
      <c r="B59" t="s">
        <v>15</v>
      </c>
      <c r="C59" t="s">
        <v>139</v>
      </c>
      <c r="D59" t="s">
        <v>12</v>
      </c>
      <c r="E59" t="s">
        <v>13</v>
      </c>
      <c r="F59" t="s">
        <v>30</v>
      </c>
    </row>
    <row r="60" spans="1:6" x14ac:dyDescent="0.25">
      <c r="A60" s="66">
        <v>43493</v>
      </c>
      <c r="B60" t="s">
        <v>67</v>
      </c>
      <c r="C60" t="s">
        <v>53</v>
      </c>
      <c r="D60" t="s">
        <v>145</v>
      </c>
      <c r="E60" t="s">
        <v>80</v>
      </c>
      <c r="F60" t="s">
        <v>123</v>
      </c>
    </row>
    <row r="61" spans="1:6" x14ac:dyDescent="0.25">
      <c r="A61" s="66">
        <v>43494</v>
      </c>
      <c r="B61" t="s">
        <v>38</v>
      </c>
      <c r="C61" t="s">
        <v>140</v>
      </c>
      <c r="D61" t="s">
        <v>28</v>
      </c>
      <c r="E61" t="s">
        <v>13</v>
      </c>
      <c r="F61" t="s">
        <v>34</v>
      </c>
    </row>
    <row r="62" spans="1:6" x14ac:dyDescent="0.25">
      <c r="A62" s="66">
        <v>43495</v>
      </c>
      <c r="B62" t="s">
        <v>50</v>
      </c>
      <c r="C62" t="s">
        <v>148</v>
      </c>
      <c r="D62" t="s">
        <v>64</v>
      </c>
      <c r="E62" t="s">
        <v>13</v>
      </c>
      <c r="F62" t="s">
        <v>141</v>
      </c>
    </row>
    <row r="63" spans="1:6" x14ac:dyDescent="0.25">
      <c r="A63" s="66">
        <v>43496</v>
      </c>
      <c r="B63" t="s">
        <v>18</v>
      </c>
      <c r="C63" t="s">
        <v>142</v>
      </c>
      <c r="D63" t="s">
        <v>44</v>
      </c>
      <c r="E63" t="s">
        <v>13</v>
      </c>
      <c r="F63" t="s">
        <v>143</v>
      </c>
    </row>
    <row r="64" spans="1:6" x14ac:dyDescent="0.25">
      <c r="A64" s="66">
        <v>43497</v>
      </c>
      <c r="B64" t="s">
        <v>36</v>
      </c>
      <c r="C64" t="s">
        <v>22</v>
      </c>
      <c r="D64" t="s">
        <v>28</v>
      </c>
      <c r="E64" t="s">
        <v>13</v>
      </c>
      <c r="F64" t="s">
        <v>31</v>
      </c>
    </row>
    <row r="65" spans="1:6" x14ac:dyDescent="0.25">
      <c r="A65" s="66">
        <v>43498</v>
      </c>
      <c r="B65" t="s">
        <v>15</v>
      </c>
      <c r="C65" t="s">
        <v>149</v>
      </c>
      <c r="D65" t="s">
        <v>12</v>
      </c>
      <c r="E65" t="s">
        <v>13</v>
      </c>
      <c r="F65" t="s">
        <v>30</v>
      </c>
    </row>
    <row r="66" spans="1:6" x14ac:dyDescent="0.25">
      <c r="A66" s="66">
        <v>43499</v>
      </c>
      <c r="B66" t="s">
        <v>9</v>
      </c>
      <c r="C66" t="s">
        <v>150</v>
      </c>
      <c r="D66" t="s">
        <v>151</v>
      </c>
      <c r="E66" t="s">
        <v>13</v>
      </c>
      <c r="F66" t="s">
        <v>34</v>
      </c>
    </row>
    <row r="67" spans="1:6" x14ac:dyDescent="0.25">
      <c r="A67" s="66">
        <v>43500</v>
      </c>
      <c r="B67" t="s">
        <v>38</v>
      </c>
      <c r="C67" t="s">
        <v>159</v>
      </c>
      <c r="D67" t="s">
        <v>25</v>
      </c>
      <c r="E67" t="s">
        <v>13</v>
      </c>
      <c r="F67" t="s">
        <v>34</v>
      </c>
    </row>
    <row r="68" spans="1:6" x14ac:dyDescent="0.25">
      <c r="A68" s="66">
        <v>43501</v>
      </c>
      <c r="B68" t="s">
        <v>152</v>
      </c>
      <c r="C68" t="s">
        <v>39</v>
      </c>
      <c r="D68" t="s">
        <v>151</v>
      </c>
      <c r="E68" t="s">
        <v>13</v>
      </c>
      <c r="F68" t="s">
        <v>66</v>
      </c>
    </row>
    <row r="69" spans="1:6" x14ac:dyDescent="0.25">
      <c r="A69" s="66">
        <v>43502</v>
      </c>
      <c r="B69" t="s">
        <v>153</v>
      </c>
      <c r="C69" t="s">
        <v>160</v>
      </c>
      <c r="D69" t="s">
        <v>44</v>
      </c>
      <c r="E69" t="s">
        <v>13</v>
      </c>
      <c r="F69" t="s">
        <v>30</v>
      </c>
    </row>
    <row r="70" spans="1:6" x14ac:dyDescent="0.25">
      <c r="A70" s="66">
        <v>43503</v>
      </c>
      <c r="B70" t="s">
        <v>105</v>
      </c>
      <c r="C70" t="s">
        <v>161</v>
      </c>
      <c r="D70" t="s">
        <v>177</v>
      </c>
      <c r="E70" t="s">
        <v>13</v>
      </c>
      <c r="F70" t="s">
        <v>90</v>
      </c>
    </row>
    <row r="71" spans="1:6" x14ac:dyDescent="0.25">
      <c r="A71" s="66">
        <v>43504</v>
      </c>
      <c r="B71" t="s">
        <v>154</v>
      </c>
      <c r="C71" t="s">
        <v>162</v>
      </c>
      <c r="D71" t="s">
        <v>64</v>
      </c>
      <c r="E71" t="s">
        <v>13</v>
      </c>
      <c r="F71" t="s">
        <v>34</v>
      </c>
    </row>
    <row r="72" spans="1:6" x14ac:dyDescent="0.25">
      <c r="A72" s="66">
        <v>43505</v>
      </c>
      <c r="B72" t="s">
        <v>50</v>
      </c>
      <c r="C72" t="s">
        <v>95</v>
      </c>
      <c r="D72" t="s">
        <v>12</v>
      </c>
      <c r="E72" t="s">
        <v>13</v>
      </c>
      <c r="F72" t="s">
        <v>178</v>
      </c>
    </row>
    <row r="73" spans="1:6" x14ac:dyDescent="0.25">
      <c r="A73" s="66">
        <v>43506</v>
      </c>
      <c r="B73" t="s">
        <v>18</v>
      </c>
      <c r="C73" t="s">
        <v>163</v>
      </c>
      <c r="D73" t="s">
        <v>64</v>
      </c>
      <c r="E73" t="s">
        <v>13</v>
      </c>
      <c r="F73" t="s">
        <v>34</v>
      </c>
    </row>
    <row r="74" spans="1:6" x14ac:dyDescent="0.25">
      <c r="A74" s="66">
        <v>43507</v>
      </c>
      <c r="B74" t="s">
        <v>16</v>
      </c>
      <c r="C74" t="s">
        <v>53</v>
      </c>
      <c r="D74" t="s">
        <v>151</v>
      </c>
      <c r="E74" t="s">
        <v>13</v>
      </c>
      <c r="F74" t="s">
        <v>46</v>
      </c>
    </row>
    <row r="75" spans="1:6" x14ac:dyDescent="0.25">
      <c r="A75" s="66">
        <v>43508</v>
      </c>
      <c r="B75" t="s">
        <v>50</v>
      </c>
      <c r="C75" t="s">
        <v>164</v>
      </c>
      <c r="D75" t="s">
        <v>44</v>
      </c>
      <c r="E75" t="s">
        <v>13</v>
      </c>
      <c r="F75" t="s">
        <v>30</v>
      </c>
    </row>
    <row r="76" spans="1:6" x14ac:dyDescent="0.25">
      <c r="A76" s="66">
        <v>43509</v>
      </c>
      <c r="B76" t="s">
        <v>67</v>
      </c>
      <c r="C76" t="s">
        <v>165</v>
      </c>
      <c r="D76" t="s">
        <v>28</v>
      </c>
      <c r="E76" t="s">
        <v>13</v>
      </c>
      <c r="F76" t="s">
        <v>29</v>
      </c>
    </row>
    <row r="77" spans="1:6" x14ac:dyDescent="0.25">
      <c r="A77" s="66">
        <v>43510</v>
      </c>
      <c r="B77" t="s">
        <v>19</v>
      </c>
      <c r="C77" t="s">
        <v>166</v>
      </c>
      <c r="D77" t="s">
        <v>64</v>
      </c>
      <c r="E77" t="s">
        <v>13</v>
      </c>
      <c r="F77" t="s">
        <v>179</v>
      </c>
    </row>
    <row r="78" spans="1:6" x14ac:dyDescent="0.25">
      <c r="A78" s="66">
        <v>43511</v>
      </c>
      <c r="B78" t="s">
        <v>9</v>
      </c>
      <c r="C78" t="s">
        <v>167</v>
      </c>
      <c r="D78" t="s">
        <v>151</v>
      </c>
      <c r="E78" t="s">
        <v>13</v>
      </c>
      <c r="F78" t="s">
        <v>48</v>
      </c>
    </row>
    <row r="79" spans="1:6" x14ac:dyDescent="0.25">
      <c r="A79" s="66">
        <v>43512</v>
      </c>
      <c r="B79" t="s">
        <v>15</v>
      </c>
      <c r="C79" t="s">
        <v>168</v>
      </c>
      <c r="D79" t="s">
        <v>27</v>
      </c>
      <c r="E79" t="s">
        <v>13</v>
      </c>
      <c r="F79" t="s">
        <v>34</v>
      </c>
    </row>
    <row r="80" spans="1:6" x14ac:dyDescent="0.25">
      <c r="A80" s="66">
        <v>43513</v>
      </c>
      <c r="B80" t="s">
        <v>155</v>
      </c>
      <c r="C80" t="s">
        <v>169</v>
      </c>
      <c r="D80" t="s">
        <v>28</v>
      </c>
      <c r="E80" t="s">
        <v>13</v>
      </c>
      <c r="F80" t="s">
        <v>30</v>
      </c>
    </row>
    <row r="81" spans="1:6" x14ac:dyDescent="0.25">
      <c r="A81" s="66">
        <v>43514</v>
      </c>
      <c r="B81" t="s">
        <v>35</v>
      </c>
      <c r="C81" t="s">
        <v>170</v>
      </c>
      <c r="D81" t="s">
        <v>144</v>
      </c>
      <c r="E81" t="s">
        <v>13</v>
      </c>
      <c r="F81" t="s">
        <v>57</v>
      </c>
    </row>
    <row r="82" spans="1:6" x14ac:dyDescent="0.25">
      <c r="A82" s="66">
        <v>43515</v>
      </c>
      <c r="B82" t="s">
        <v>14</v>
      </c>
      <c r="C82" t="s">
        <v>171</v>
      </c>
      <c r="D82" t="s">
        <v>151</v>
      </c>
      <c r="E82" t="s">
        <v>13</v>
      </c>
      <c r="F82" t="s">
        <v>31</v>
      </c>
    </row>
    <row r="83" spans="1:6" x14ac:dyDescent="0.25">
      <c r="A83" s="66">
        <v>43516</v>
      </c>
      <c r="B83" t="s">
        <v>156</v>
      </c>
      <c r="C83" t="s">
        <v>172</v>
      </c>
      <c r="D83" t="s">
        <v>44</v>
      </c>
      <c r="E83" t="s">
        <v>13</v>
      </c>
      <c r="F83" t="s">
        <v>34</v>
      </c>
    </row>
    <row r="84" spans="1:6" x14ac:dyDescent="0.25">
      <c r="A84" s="66">
        <v>43517</v>
      </c>
      <c r="B84" t="s">
        <v>105</v>
      </c>
      <c r="C84" t="s">
        <v>173</v>
      </c>
      <c r="D84" t="s">
        <v>177</v>
      </c>
      <c r="E84" t="s">
        <v>13</v>
      </c>
      <c r="F84" t="s">
        <v>180</v>
      </c>
    </row>
    <row r="85" spans="1:6" x14ac:dyDescent="0.25">
      <c r="A85" s="66">
        <v>43518</v>
      </c>
      <c r="B85" t="s">
        <v>157</v>
      </c>
      <c r="C85" t="s">
        <v>174</v>
      </c>
      <c r="D85" t="s">
        <v>151</v>
      </c>
      <c r="E85" t="s">
        <v>13</v>
      </c>
      <c r="F85" t="s">
        <v>30</v>
      </c>
    </row>
    <row r="86" spans="1:6" x14ac:dyDescent="0.25">
      <c r="A86" s="66">
        <v>43519</v>
      </c>
      <c r="B86" t="s">
        <v>158</v>
      </c>
      <c r="C86" t="s">
        <v>75</v>
      </c>
      <c r="D86" t="s">
        <v>28</v>
      </c>
      <c r="E86" t="s">
        <v>13</v>
      </c>
      <c r="F86" t="s">
        <v>181</v>
      </c>
    </row>
    <row r="87" spans="1:6" x14ac:dyDescent="0.25">
      <c r="A87" s="66">
        <v>43520</v>
      </c>
      <c r="B87" t="s">
        <v>50</v>
      </c>
      <c r="C87" t="s">
        <v>23</v>
      </c>
      <c r="D87" t="s">
        <v>12</v>
      </c>
      <c r="E87" t="s">
        <v>13</v>
      </c>
      <c r="F87" t="s">
        <v>182</v>
      </c>
    </row>
    <row r="88" spans="1:6" x14ac:dyDescent="0.25">
      <c r="A88" s="66">
        <v>43521</v>
      </c>
      <c r="B88" t="s">
        <v>112</v>
      </c>
      <c r="C88" t="s">
        <v>20</v>
      </c>
      <c r="D88" t="s">
        <v>151</v>
      </c>
      <c r="E88" t="s">
        <v>13</v>
      </c>
      <c r="F88" t="s">
        <v>66</v>
      </c>
    </row>
    <row r="89" spans="1:6" x14ac:dyDescent="0.25">
      <c r="A89" s="66">
        <v>43522</v>
      </c>
      <c r="B89" t="s">
        <v>36</v>
      </c>
      <c r="C89" t="s">
        <v>175</v>
      </c>
      <c r="D89" t="s">
        <v>44</v>
      </c>
      <c r="E89" t="s">
        <v>13</v>
      </c>
      <c r="F89" t="s">
        <v>56</v>
      </c>
    </row>
    <row r="90" spans="1:6" x14ac:dyDescent="0.25">
      <c r="A90" s="66">
        <v>43523</v>
      </c>
      <c r="B90" t="s">
        <v>37</v>
      </c>
      <c r="C90" t="s">
        <v>42</v>
      </c>
      <c r="D90" t="s">
        <v>151</v>
      </c>
      <c r="E90" t="s">
        <v>13</v>
      </c>
      <c r="F90" t="s">
        <v>123</v>
      </c>
    </row>
    <row r="91" spans="1:6" x14ac:dyDescent="0.25">
      <c r="A91" s="66">
        <v>43524</v>
      </c>
      <c r="B91" t="s">
        <v>51</v>
      </c>
      <c r="C91" t="s">
        <v>176</v>
      </c>
      <c r="D91" t="s">
        <v>25</v>
      </c>
      <c r="E91" t="s">
        <v>13</v>
      </c>
      <c r="F91" t="s">
        <v>30</v>
      </c>
    </row>
    <row r="92" spans="1:6" x14ac:dyDescent="0.25">
      <c r="A92" s="66">
        <v>43525</v>
      </c>
      <c r="B92" t="s">
        <v>14</v>
      </c>
      <c r="C92" t="s">
        <v>171</v>
      </c>
      <c r="D92" t="s">
        <v>151</v>
      </c>
      <c r="E92" t="s">
        <v>13</v>
      </c>
      <c r="F92" t="s">
        <v>46</v>
      </c>
    </row>
    <row r="93" spans="1:6" x14ac:dyDescent="0.25">
      <c r="A93" s="66">
        <v>43526</v>
      </c>
      <c r="B93" t="s">
        <v>38</v>
      </c>
      <c r="C93" t="s">
        <v>183</v>
      </c>
      <c r="D93" t="s">
        <v>12</v>
      </c>
      <c r="E93" t="s">
        <v>13</v>
      </c>
      <c r="F93" t="s">
        <v>57</v>
      </c>
    </row>
    <row r="94" spans="1:6" x14ac:dyDescent="0.25">
      <c r="A94" s="66">
        <v>43527</v>
      </c>
      <c r="B94" t="s">
        <v>15</v>
      </c>
      <c r="C94" t="s">
        <v>184</v>
      </c>
      <c r="D94" t="s">
        <v>28</v>
      </c>
      <c r="E94" t="s">
        <v>13</v>
      </c>
      <c r="F94" t="s">
        <v>34</v>
      </c>
    </row>
    <row r="95" spans="1:6" x14ac:dyDescent="0.25">
      <c r="A95" s="66">
        <v>43528</v>
      </c>
      <c r="B95" t="s">
        <v>155</v>
      </c>
      <c r="C95" t="s">
        <v>185</v>
      </c>
      <c r="D95" t="s">
        <v>12</v>
      </c>
      <c r="E95" t="s">
        <v>13</v>
      </c>
      <c r="F95" t="s">
        <v>34</v>
      </c>
    </row>
    <row r="96" spans="1:6" x14ac:dyDescent="0.25">
      <c r="A96" s="66">
        <v>43529</v>
      </c>
      <c r="B96" t="s">
        <v>110</v>
      </c>
      <c r="C96" t="s">
        <v>39</v>
      </c>
      <c r="D96" t="s">
        <v>151</v>
      </c>
      <c r="E96" t="s">
        <v>13</v>
      </c>
      <c r="F96" t="s">
        <v>66</v>
      </c>
    </row>
    <row r="97" spans="1:6" x14ac:dyDescent="0.25">
      <c r="A97" s="66">
        <v>43530</v>
      </c>
      <c r="B97" t="s">
        <v>49</v>
      </c>
      <c r="C97" t="s">
        <v>186</v>
      </c>
      <c r="D97" t="s">
        <v>28</v>
      </c>
      <c r="E97" t="s">
        <v>13</v>
      </c>
      <c r="F97" t="s">
        <v>187</v>
      </c>
    </row>
    <row r="98" spans="1:6" x14ac:dyDescent="0.25">
      <c r="A98" s="66">
        <v>43531</v>
      </c>
      <c r="B98" t="s">
        <v>50</v>
      </c>
      <c r="C98" t="s">
        <v>188</v>
      </c>
      <c r="D98" t="s">
        <v>177</v>
      </c>
      <c r="E98" t="s">
        <v>13</v>
      </c>
      <c r="F98" t="s">
        <v>90</v>
      </c>
    </row>
    <row r="99" spans="1:6" x14ac:dyDescent="0.25">
      <c r="A99" s="66">
        <v>43532</v>
      </c>
      <c r="B99" t="s">
        <v>121</v>
      </c>
      <c r="C99" t="s">
        <v>189</v>
      </c>
      <c r="D99" t="s">
        <v>151</v>
      </c>
      <c r="E99" t="s">
        <v>13</v>
      </c>
      <c r="F99" t="s">
        <v>190</v>
      </c>
    </row>
    <row r="100" spans="1:6" x14ac:dyDescent="0.25">
      <c r="A100" s="66">
        <v>43533</v>
      </c>
      <c r="B100" t="s">
        <v>105</v>
      </c>
      <c r="C100" t="s">
        <v>191</v>
      </c>
      <c r="D100" t="s">
        <v>26</v>
      </c>
      <c r="E100" t="s">
        <v>13</v>
      </c>
      <c r="F100" t="s">
        <v>33</v>
      </c>
    </row>
    <row r="101" spans="1:6" x14ac:dyDescent="0.25">
      <c r="A101" s="66">
        <v>43534</v>
      </c>
      <c r="B101" t="s">
        <v>67</v>
      </c>
      <c r="C101" t="s">
        <v>55</v>
      </c>
      <c r="D101" t="s">
        <v>25</v>
      </c>
      <c r="E101" t="s">
        <v>13</v>
      </c>
      <c r="F101" t="s">
        <v>34</v>
      </c>
    </row>
    <row r="102" spans="1:6" x14ac:dyDescent="0.25">
      <c r="A102" s="66">
        <v>43535</v>
      </c>
      <c r="B102" t="s">
        <v>16</v>
      </c>
      <c r="C102" t="s">
        <v>53</v>
      </c>
      <c r="D102" t="s">
        <v>151</v>
      </c>
      <c r="E102" t="s">
        <v>13</v>
      </c>
      <c r="F102" t="s">
        <v>66</v>
      </c>
    </row>
    <row r="103" spans="1:6" x14ac:dyDescent="0.25">
      <c r="A103" s="66">
        <v>43536</v>
      </c>
      <c r="B103" t="s">
        <v>36</v>
      </c>
      <c r="C103" t="s">
        <v>139</v>
      </c>
      <c r="D103" t="s">
        <v>12</v>
      </c>
      <c r="E103" t="s">
        <v>13</v>
      </c>
      <c r="F103" t="s">
        <v>34</v>
      </c>
    </row>
    <row r="104" spans="1:6" x14ac:dyDescent="0.25">
      <c r="A104" s="66">
        <v>43537</v>
      </c>
      <c r="B104" t="s">
        <v>50</v>
      </c>
      <c r="C104" t="s">
        <v>42</v>
      </c>
      <c r="D104" t="s">
        <v>83</v>
      </c>
      <c r="E104" t="s">
        <v>13</v>
      </c>
      <c r="F104" t="s">
        <v>47</v>
      </c>
    </row>
    <row r="105" spans="1:6" x14ac:dyDescent="0.25">
      <c r="A105" s="66">
        <v>43538</v>
      </c>
      <c r="B105" t="s">
        <v>37</v>
      </c>
      <c r="C105" t="s">
        <v>192</v>
      </c>
      <c r="D105" t="s">
        <v>44</v>
      </c>
      <c r="E105" t="s">
        <v>13</v>
      </c>
      <c r="F105" t="s">
        <v>187</v>
      </c>
    </row>
    <row r="106" spans="1:6" x14ac:dyDescent="0.25">
      <c r="A106" s="66">
        <v>43539</v>
      </c>
      <c r="B106" t="s">
        <v>15</v>
      </c>
      <c r="C106" t="s">
        <v>54</v>
      </c>
      <c r="D106" t="s">
        <v>28</v>
      </c>
      <c r="E106" t="s">
        <v>13</v>
      </c>
      <c r="F106" t="s">
        <v>29</v>
      </c>
    </row>
    <row r="107" spans="1:6" x14ac:dyDescent="0.25">
      <c r="A107" s="66">
        <v>43540</v>
      </c>
      <c r="B107" t="s">
        <v>19</v>
      </c>
      <c r="C107" t="s">
        <v>193</v>
      </c>
      <c r="D107" t="s">
        <v>12</v>
      </c>
      <c r="E107" t="s">
        <v>13</v>
      </c>
      <c r="F107" t="s">
        <v>30</v>
      </c>
    </row>
    <row r="108" spans="1:6" x14ac:dyDescent="0.25">
      <c r="A108" s="66">
        <v>43541</v>
      </c>
      <c r="B108" t="s">
        <v>35</v>
      </c>
      <c r="C108" t="s">
        <v>194</v>
      </c>
      <c r="D108" t="s">
        <v>28</v>
      </c>
      <c r="E108" t="s">
        <v>13</v>
      </c>
      <c r="F108" t="s">
        <v>34</v>
      </c>
    </row>
    <row r="109" spans="1:6" x14ac:dyDescent="0.25">
      <c r="A109" s="66">
        <v>43542</v>
      </c>
      <c r="B109" t="s">
        <v>195</v>
      </c>
      <c r="C109" t="s">
        <v>196</v>
      </c>
      <c r="D109" t="s">
        <v>28</v>
      </c>
      <c r="E109" t="s">
        <v>13</v>
      </c>
      <c r="F109" t="s">
        <v>34</v>
      </c>
    </row>
    <row r="110" spans="1:6" x14ac:dyDescent="0.25">
      <c r="A110" s="66">
        <v>43543</v>
      </c>
      <c r="B110" t="s">
        <v>9</v>
      </c>
      <c r="C110" t="s">
        <v>39</v>
      </c>
      <c r="D110" t="s">
        <v>151</v>
      </c>
      <c r="E110" t="s">
        <v>13</v>
      </c>
      <c r="F110" t="s">
        <v>66</v>
      </c>
    </row>
    <row r="111" spans="1:6" x14ac:dyDescent="0.25">
      <c r="A111" s="66">
        <v>43544</v>
      </c>
      <c r="B111" t="s">
        <v>197</v>
      </c>
      <c r="C111" t="s">
        <v>198</v>
      </c>
      <c r="D111" t="s">
        <v>44</v>
      </c>
      <c r="E111" t="s">
        <v>13</v>
      </c>
      <c r="F111" t="s">
        <v>199</v>
      </c>
    </row>
    <row r="112" spans="1:6" x14ac:dyDescent="0.25">
      <c r="A112" s="66">
        <v>43545</v>
      </c>
      <c r="B112" t="s">
        <v>67</v>
      </c>
      <c r="C112" t="s">
        <v>167</v>
      </c>
      <c r="D112" t="s">
        <v>200</v>
      </c>
      <c r="E112" t="s">
        <v>13</v>
      </c>
      <c r="F112" t="s">
        <v>90</v>
      </c>
    </row>
    <row r="113" spans="1:6" x14ac:dyDescent="0.25">
      <c r="A113" s="66">
        <v>43546</v>
      </c>
      <c r="B113" t="s">
        <v>155</v>
      </c>
      <c r="C113" t="s">
        <v>201</v>
      </c>
      <c r="D113" t="s">
        <v>64</v>
      </c>
      <c r="E113" t="s">
        <v>13</v>
      </c>
      <c r="F113" t="s">
        <v>32</v>
      </c>
    </row>
    <row r="114" spans="1:6" x14ac:dyDescent="0.25">
      <c r="A114" s="66">
        <v>43547</v>
      </c>
      <c r="B114" t="s">
        <v>35</v>
      </c>
      <c r="C114" t="s">
        <v>202</v>
      </c>
      <c r="D114" t="s">
        <v>12</v>
      </c>
      <c r="E114" t="s">
        <v>13</v>
      </c>
      <c r="F114" t="s">
        <v>120</v>
      </c>
    </row>
    <row r="115" spans="1:6" x14ac:dyDescent="0.25">
      <c r="A115" s="66">
        <v>43548</v>
      </c>
      <c r="B115" t="s">
        <v>117</v>
      </c>
      <c r="C115" t="s">
        <v>203</v>
      </c>
      <c r="D115" t="s">
        <v>44</v>
      </c>
      <c r="E115" t="s">
        <v>13</v>
      </c>
      <c r="F115" t="s">
        <v>34</v>
      </c>
    </row>
    <row r="116" spans="1:6" x14ac:dyDescent="0.25">
      <c r="A116" s="66">
        <v>43549</v>
      </c>
      <c r="B116" t="s">
        <v>67</v>
      </c>
      <c r="C116" t="s">
        <v>204</v>
      </c>
      <c r="D116" t="s">
        <v>151</v>
      </c>
      <c r="E116" t="s">
        <v>13</v>
      </c>
      <c r="F116" t="s">
        <v>205</v>
      </c>
    </row>
    <row r="117" spans="1:6" x14ac:dyDescent="0.25">
      <c r="A117" s="66">
        <v>43550</v>
      </c>
      <c r="B117" t="s">
        <v>37</v>
      </c>
      <c r="C117" t="s">
        <v>206</v>
      </c>
      <c r="D117" t="s">
        <v>12</v>
      </c>
      <c r="E117" t="s">
        <v>13</v>
      </c>
      <c r="F117" t="s">
        <v>34</v>
      </c>
    </row>
    <row r="118" spans="1:6" x14ac:dyDescent="0.25">
      <c r="A118" s="66">
        <v>43551</v>
      </c>
      <c r="B118" t="s">
        <v>207</v>
      </c>
      <c r="C118" t="s">
        <v>208</v>
      </c>
      <c r="D118" t="s">
        <v>151</v>
      </c>
      <c r="E118" t="s">
        <v>13</v>
      </c>
      <c r="F118" t="s">
        <v>90</v>
      </c>
    </row>
    <row r="119" spans="1:6" x14ac:dyDescent="0.25">
      <c r="A119" s="66">
        <v>43552</v>
      </c>
      <c r="B119" t="s">
        <v>38</v>
      </c>
      <c r="C119" t="s">
        <v>137</v>
      </c>
      <c r="D119" t="s">
        <v>25</v>
      </c>
      <c r="E119" t="s">
        <v>13</v>
      </c>
      <c r="F119" t="s">
        <v>30</v>
      </c>
    </row>
    <row r="120" spans="1:6" x14ac:dyDescent="0.25">
      <c r="A120" s="66">
        <v>43553</v>
      </c>
      <c r="B120" t="s">
        <v>16</v>
      </c>
      <c r="C120" t="s">
        <v>106</v>
      </c>
      <c r="D120" t="s">
        <v>151</v>
      </c>
      <c r="E120" t="s">
        <v>13</v>
      </c>
      <c r="F120" t="s">
        <v>123</v>
      </c>
    </row>
    <row r="121" spans="1:6" x14ac:dyDescent="0.25">
      <c r="A121" s="66">
        <v>43554</v>
      </c>
      <c r="B121" t="s">
        <v>18</v>
      </c>
      <c r="C121" t="s">
        <v>209</v>
      </c>
      <c r="D121" t="s">
        <v>44</v>
      </c>
      <c r="E121" t="s">
        <v>13</v>
      </c>
      <c r="F121" t="s">
        <v>210</v>
      </c>
    </row>
    <row r="122" spans="1:6" x14ac:dyDescent="0.25">
      <c r="A122" s="66">
        <v>43555</v>
      </c>
      <c r="B122" t="s">
        <v>211</v>
      </c>
      <c r="C122" t="s">
        <v>212</v>
      </c>
      <c r="D122" t="s">
        <v>28</v>
      </c>
      <c r="E122" t="s">
        <v>13</v>
      </c>
      <c r="F122" t="s">
        <v>34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Kaloriler"/>
  <dimension ref="A1:B186"/>
  <sheetViews>
    <sheetView topLeftCell="A151" workbookViewId="0">
      <selection activeCell="A189" sqref="A189"/>
    </sheetView>
  </sheetViews>
  <sheetFormatPr defaultRowHeight="15" x14ac:dyDescent="0.25"/>
  <cols>
    <col min="1" max="1" width="34.7109375" bestFit="1" customWidth="1"/>
  </cols>
  <sheetData>
    <row r="1" spans="1:2" s="65" customFormat="1" x14ac:dyDescent="0.25">
      <c r="A1" s="65" t="s">
        <v>69</v>
      </c>
      <c r="B1" s="65" t="s">
        <v>78</v>
      </c>
    </row>
    <row r="2" spans="1:2" x14ac:dyDescent="0.25">
      <c r="A2" t="s">
        <v>18</v>
      </c>
      <c r="B2">
        <v>150</v>
      </c>
    </row>
    <row r="3" spans="1:2" x14ac:dyDescent="0.25">
      <c r="A3" t="s">
        <v>35</v>
      </c>
      <c r="B3">
        <v>200</v>
      </c>
    </row>
    <row r="4" spans="1:2" x14ac:dyDescent="0.25">
      <c r="A4" t="s">
        <v>15</v>
      </c>
      <c r="B4">
        <v>237</v>
      </c>
    </row>
    <row r="5" spans="1:2" x14ac:dyDescent="0.25">
      <c r="A5" t="s">
        <v>51</v>
      </c>
      <c r="B5">
        <v>200</v>
      </c>
    </row>
    <row r="6" spans="1:2" x14ac:dyDescent="0.25">
      <c r="A6" t="s">
        <v>41</v>
      </c>
      <c r="B6">
        <v>400</v>
      </c>
    </row>
    <row r="7" spans="1:2" x14ac:dyDescent="0.25">
      <c r="A7" t="s">
        <v>139</v>
      </c>
      <c r="B7">
        <v>400</v>
      </c>
    </row>
    <row r="8" spans="1:2" x14ac:dyDescent="0.25">
      <c r="A8" t="s">
        <v>117</v>
      </c>
      <c r="B8">
        <v>153</v>
      </c>
    </row>
    <row r="9" spans="1:2" x14ac:dyDescent="0.25">
      <c r="A9" t="s">
        <v>144</v>
      </c>
      <c r="B9">
        <v>350</v>
      </c>
    </row>
    <row r="10" spans="1:2" x14ac:dyDescent="0.25">
      <c r="A10" t="s">
        <v>93</v>
      </c>
      <c r="B10">
        <v>140</v>
      </c>
    </row>
    <row r="11" spans="1:2" x14ac:dyDescent="0.25">
      <c r="A11" t="s">
        <v>11</v>
      </c>
      <c r="B11">
        <v>400</v>
      </c>
    </row>
    <row r="12" spans="1:2" x14ac:dyDescent="0.25">
      <c r="A12" t="s">
        <v>45</v>
      </c>
      <c r="B12">
        <v>385</v>
      </c>
    </row>
    <row r="13" spans="1:2" x14ac:dyDescent="0.25">
      <c r="A13" t="s">
        <v>31</v>
      </c>
      <c r="B13">
        <v>385</v>
      </c>
    </row>
    <row r="14" spans="1:2" x14ac:dyDescent="0.25">
      <c r="A14" t="s">
        <v>115</v>
      </c>
      <c r="B14">
        <v>78</v>
      </c>
    </row>
    <row r="15" spans="1:2" x14ac:dyDescent="0.25">
      <c r="A15" t="s">
        <v>28</v>
      </c>
      <c r="B15">
        <v>291</v>
      </c>
    </row>
    <row r="16" spans="1:2" x14ac:dyDescent="0.25">
      <c r="A16" t="s">
        <v>80</v>
      </c>
      <c r="B16">
        <v>140</v>
      </c>
    </row>
    <row r="17" spans="1:2" x14ac:dyDescent="0.25">
      <c r="A17" t="s">
        <v>59</v>
      </c>
      <c r="B17">
        <v>150</v>
      </c>
    </row>
    <row r="18" spans="1:2" x14ac:dyDescent="0.25">
      <c r="A18" t="s">
        <v>116</v>
      </c>
      <c r="B18">
        <v>180</v>
      </c>
    </row>
    <row r="19" spans="1:2" x14ac:dyDescent="0.25">
      <c r="A19" t="s">
        <v>164</v>
      </c>
      <c r="B19">
        <v>400</v>
      </c>
    </row>
    <row r="20" spans="1:2" x14ac:dyDescent="0.25">
      <c r="A20" t="s">
        <v>192</v>
      </c>
      <c r="B20">
        <v>400</v>
      </c>
    </row>
    <row r="21" spans="1:2" x14ac:dyDescent="0.25">
      <c r="A21" t="s">
        <v>157</v>
      </c>
      <c r="B21">
        <v>155</v>
      </c>
    </row>
    <row r="22" spans="1:2" x14ac:dyDescent="0.25">
      <c r="A22" t="s">
        <v>16</v>
      </c>
      <c r="B22">
        <v>148</v>
      </c>
    </row>
    <row r="23" spans="1:2" x14ac:dyDescent="0.25">
      <c r="A23" t="s">
        <v>23</v>
      </c>
      <c r="B23">
        <v>400</v>
      </c>
    </row>
    <row r="24" spans="1:2" x14ac:dyDescent="0.25">
      <c r="A24" t="s">
        <v>185</v>
      </c>
      <c r="B24">
        <v>400</v>
      </c>
    </row>
    <row r="25" spans="1:2" x14ac:dyDescent="0.25">
      <c r="A25" t="s">
        <v>187</v>
      </c>
      <c r="B25">
        <v>150</v>
      </c>
    </row>
    <row r="26" spans="1:2" x14ac:dyDescent="0.25">
      <c r="A26" t="s">
        <v>26</v>
      </c>
      <c r="B26">
        <v>350</v>
      </c>
    </row>
    <row r="27" spans="1:2" x14ac:dyDescent="0.25">
      <c r="A27" t="s">
        <v>65</v>
      </c>
      <c r="B27">
        <v>350</v>
      </c>
    </row>
    <row r="28" spans="1:2" x14ac:dyDescent="0.25">
      <c r="A28" t="s">
        <v>166</v>
      </c>
      <c r="B28">
        <v>400</v>
      </c>
    </row>
    <row r="29" spans="1:2" x14ac:dyDescent="0.25">
      <c r="A29" t="s">
        <v>82</v>
      </c>
      <c r="B29">
        <v>400</v>
      </c>
    </row>
    <row r="30" spans="1:2" x14ac:dyDescent="0.25">
      <c r="A30" t="s">
        <v>129</v>
      </c>
      <c r="B30">
        <v>300</v>
      </c>
    </row>
    <row r="31" spans="1:2" x14ac:dyDescent="0.25">
      <c r="A31" t="s">
        <v>133</v>
      </c>
      <c r="B31">
        <v>300</v>
      </c>
    </row>
    <row r="32" spans="1:2" x14ac:dyDescent="0.25">
      <c r="A32" t="s">
        <v>20</v>
      </c>
      <c r="B32">
        <v>170</v>
      </c>
    </row>
    <row r="33" spans="1:2" x14ac:dyDescent="0.25">
      <c r="A33" t="s">
        <v>61</v>
      </c>
      <c r="B33">
        <v>270</v>
      </c>
    </row>
    <row r="34" spans="1:2" x14ac:dyDescent="0.25">
      <c r="A34" t="s">
        <v>75</v>
      </c>
      <c r="B34">
        <v>300</v>
      </c>
    </row>
    <row r="35" spans="1:2" x14ac:dyDescent="0.25">
      <c r="A35" t="s">
        <v>54</v>
      </c>
      <c r="B35">
        <v>270</v>
      </c>
    </row>
    <row r="36" spans="1:2" x14ac:dyDescent="0.25">
      <c r="A36" t="s">
        <v>173</v>
      </c>
      <c r="B36">
        <v>270</v>
      </c>
    </row>
    <row r="37" spans="1:2" x14ac:dyDescent="0.25">
      <c r="A37" t="s">
        <v>105</v>
      </c>
      <c r="B37">
        <v>237</v>
      </c>
    </row>
    <row r="38" spans="1:2" x14ac:dyDescent="0.25">
      <c r="A38" t="s">
        <v>154</v>
      </c>
      <c r="B38">
        <v>155</v>
      </c>
    </row>
    <row r="39" spans="1:2" x14ac:dyDescent="0.25">
      <c r="A39" t="s">
        <v>103</v>
      </c>
      <c r="B39">
        <v>155</v>
      </c>
    </row>
    <row r="40" spans="1:2" x14ac:dyDescent="0.25">
      <c r="A40" t="s">
        <v>168</v>
      </c>
      <c r="B40">
        <v>400</v>
      </c>
    </row>
    <row r="41" spans="1:2" x14ac:dyDescent="0.25">
      <c r="A41" t="s">
        <v>107</v>
      </c>
      <c r="B41">
        <v>400</v>
      </c>
    </row>
    <row r="42" spans="1:2" x14ac:dyDescent="0.25">
      <c r="A42" t="s">
        <v>114</v>
      </c>
      <c r="B42">
        <v>400</v>
      </c>
    </row>
    <row r="43" spans="1:2" x14ac:dyDescent="0.25">
      <c r="A43" t="s">
        <v>201</v>
      </c>
      <c r="B43">
        <v>400</v>
      </c>
    </row>
    <row r="44" spans="1:2" x14ac:dyDescent="0.25">
      <c r="A44" t="s">
        <v>179</v>
      </c>
      <c r="B44">
        <v>350</v>
      </c>
    </row>
    <row r="45" spans="1:2" x14ac:dyDescent="0.25">
      <c r="A45" t="s">
        <v>97</v>
      </c>
      <c r="B45">
        <v>385</v>
      </c>
    </row>
    <row r="46" spans="1:2" x14ac:dyDescent="0.25">
      <c r="A46" t="s">
        <v>53</v>
      </c>
      <c r="B46">
        <v>170</v>
      </c>
    </row>
    <row r="47" spans="1:2" x14ac:dyDescent="0.25">
      <c r="A47" t="s">
        <v>39</v>
      </c>
      <c r="B47">
        <v>170</v>
      </c>
    </row>
    <row r="48" spans="1:2" x14ac:dyDescent="0.25">
      <c r="A48" t="s">
        <v>62</v>
      </c>
      <c r="B48">
        <v>400</v>
      </c>
    </row>
    <row r="49" spans="1:2" x14ac:dyDescent="0.25">
      <c r="A49" t="s">
        <v>199</v>
      </c>
      <c r="B49">
        <v>205</v>
      </c>
    </row>
    <row r="50" spans="1:2" x14ac:dyDescent="0.25">
      <c r="A50" t="s">
        <v>156</v>
      </c>
      <c r="B50">
        <v>150</v>
      </c>
    </row>
    <row r="51" spans="1:2" x14ac:dyDescent="0.25">
      <c r="A51" t="s">
        <v>167</v>
      </c>
      <c r="B51">
        <v>300</v>
      </c>
    </row>
    <row r="52" spans="1:2" x14ac:dyDescent="0.25">
      <c r="A52" t="s">
        <v>92</v>
      </c>
      <c r="B52">
        <v>400</v>
      </c>
    </row>
    <row r="53" spans="1:2" x14ac:dyDescent="0.25">
      <c r="A53" t="s">
        <v>137</v>
      </c>
      <c r="B53">
        <v>400</v>
      </c>
    </row>
    <row r="54" spans="1:2" x14ac:dyDescent="0.25">
      <c r="A54" t="s">
        <v>176</v>
      </c>
      <c r="B54">
        <v>400</v>
      </c>
    </row>
    <row r="55" spans="1:2" x14ac:dyDescent="0.25">
      <c r="A55" t="s">
        <v>104</v>
      </c>
      <c r="B55">
        <v>400</v>
      </c>
    </row>
    <row r="56" spans="1:2" x14ac:dyDescent="0.25">
      <c r="A56" t="s">
        <v>55</v>
      </c>
      <c r="B56">
        <v>400</v>
      </c>
    </row>
    <row r="57" spans="1:2" x14ac:dyDescent="0.25">
      <c r="A57" t="s">
        <v>209</v>
      </c>
      <c r="B57">
        <v>400</v>
      </c>
    </row>
    <row r="58" spans="1:2" x14ac:dyDescent="0.25">
      <c r="A58" t="s">
        <v>198</v>
      </c>
      <c r="B58">
        <v>400</v>
      </c>
    </row>
    <row r="59" spans="1:2" x14ac:dyDescent="0.25">
      <c r="A59" t="s">
        <v>40</v>
      </c>
      <c r="B59">
        <v>400</v>
      </c>
    </row>
    <row r="60" spans="1:2" x14ac:dyDescent="0.25">
      <c r="A60" t="s">
        <v>172</v>
      </c>
      <c r="B60">
        <v>400</v>
      </c>
    </row>
    <row r="61" spans="1:2" x14ac:dyDescent="0.25">
      <c r="A61" t="s">
        <v>46</v>
      </c>
      <c r="B61">
        <v>385</v>
      </c>
    </row>
    <row r="62" spans="1:2" x14ac:dyDescent="0.25">
      <c r="A62" t="s">
        <v>190</v>
      </c>
      <c r="B62">
        <v>215</v>
      </c>
    </row>
    <row r="63" spans="1:2" x14ac:dyDescent="0.25">
      <c r="A63" t="s">
        <v>96</v>
      </c>
      <c r="B63">
        <v>400</v>
      </c>
    </row>
    <row r="64" spans="1:2" x14ac:dyDescent="0.25">
      <c r="A64" t="s">
        <v>131</v>
      </c>
      <c r="B64">
        <v>155</v>
      </c>
    </row>
    <row r="65" spans="1:2" x14ac:dyDescent="0.25">
      <c r="A65" t="s">
        <v>87</v>
      </c>
      <c r="B65">
        <v>155</v>
      </c>
    </row>
    <row r="66" spans="1:2" x14ac:dyDescent="0.25">
      <c r="A66" t="s">
        <v>205</v>
      </c>
      <c r="B66">
        <v>282</v>
      </c>
    </row>
    <row r="67" spans="1:2" x14ac:dyDescent="0.25">
      <c r="A67" t="s">
        <v>47</v>
      </c>
      <c r="B67">
        <v>186</v>
      </c>
    </row>
    <row r="68" spans="1:2" x14ac:dyDescent="0.25">
      <c r="A68" t="s">
        <v>210</v>
      </c>
      <c r="B68">
        <v>150</v>
      </c>
    </row>
    <row r="69" spans="1:2" x14ac:dyDescent="0.25">
      <c r="A69" t="s">
        <v>202</v>
      </c>
      <c r="B69">
        <v>300</v>
      </c>
    </row>
    <row r="70" spans="1:2" x14ac:dyDescent="0.25">
      <c r="A70" t="s">
        <v>171</v>
      </c>
      <c r="B70">
        <v>300</v>
      </c>
    </row>
    <row r="71" spans="1:2" x14ac:dyDescent="0.25">
      <c r="A71" t="s">
        <v>191</v>
      </c>
      <c r="B71">
        <v>300</v>
      </c>
    </row>
    <row r="72" spans="1:2" x14ac:dyDescent="0.25">
      <c r="A72" t="s">
        <v>165</v>
      </c>
      <c r="B72">
        <v>250</v>
      </c>
    </row>
    <row r="73" spans="1:2" x14ac:dyDescent="0.25">
      <c r="A73" t="s">
        <v>150</v>
      </c>
      <c r="B73">
        <v>300</v>
      </c>
    </row>
    <row r="74" spans="1:2" x14ac:dyDescent="0.25">
      <c r="A74" t="s">
        <v>208</v>
      </c>
      <c r="B74">
        <v>300</v>
      </c>
    </row>
    <row r="75" spans="1:2" x14ac:dyDescent="0.25">
      <c r="A75" t="s">
        <v>81</v>
      </c>
      <c r="B75">
        <v>270</v>
      </c>
    </row>
    <row r="76" spans="1:2" x14ac:dyDescent="0.25">
      <c r="A76" t="s">
        <v>89</v>
      </c>
      <c r="B76">
        <v>270</v>
      </c>
    </row>
    <row r="77" spans="1:2" x14ac:dyDescent="0.25">
      <c r="A77" t="s">
        <v>42</v>
      </c>
      <c r="B77">
        <v>310</v>
      </c>
    </row>
    <row r="78" spans="1:2" x14ac:dyDescent="0.25">
      <c r="A78" t="s">
        <v>90</v>
      </c>
      <c r="B78">
        <v>200</v>
      </c>
    </row>
    <row r="79" spans="1:2" x14ac:dyDescent="0.25">
      <c r="A79" t="s">
        <v>95</v>
      </c>
      <c r="B79">
        <v>225</v>
      </c>
    </row>
    <row r="80" spans="1:2" x14ac:dyDescent="0.25">
      <c r="A80" t="s">
        <v>108</v>
      </c>
      <c r="B80">
        <v>190</v>
      </c>
    </row>
    <row r="81" spans="1:2" x14ac:dyDescent="0.25">
      <c r="A81" t="s">
        <v>178</v>
      </c>
      <c r="B81">
        <v>218</v>
      </c>
    </row>
    <row r="82" spans="1:2" x14ac:dyDescent="0.25">
      <c r="A82" t="s">
        <v>94</v>
      </c>
      <c r="B82">
        <v>270</v>
      </c>
    </row>
    <row r="83" spans="1:2" x14ac:dyDescent="0.25">
      <c r="A83" t="s">
        <v>212</v>
      </c>
      <c r="B83">
        <v>400</v>
      </c>
    </row>
    <row r="84" spans="1:2" x14ac:dyDescent="0.25">
      <c r="A84" t="s">
        <v>134</v>
      </c>
      <c r="B84">
        <v>110</v>
      </c>
    </row>
    <row r="85" spans="1:2" x14ac:dyDescent="0.25">
      <c r="A85" t="s">
        <v>206</v>
      </c>
      <c r="B85">
        <v>400</v>
      </c>
    </row>
    <row r="86" spans="1:2" x14ac:dyDescent="0.25">
      <c r="A86" t="s">
        <v>170</v>
      </c>
      <c r="B86">
        <v>400</v>
      </c>
    </row>
    <row r="87" spans="1:2" x14ac:dyDescent="0.25">
      <c r="A87" t="s">
        <v>12</v>
      </c>
      <c r="B87">
        <v>350</v>
      </c>
    </row>
    <row r="88" spans="1:2" x14ac:dyDescent="0.25">
      <c r="A88" t="s">
        <v>44</v>
      </c>
      <c r="B88">
        <v>350</v>
      </c>
    </row>
    <row r="89" spans="1:2" x14ac:dyDescent="0.25">
      <c r="A89" t="s">
        <v>27</v>
      </c>
      <c r="B89">
        <v>350</v>
      </c>
    </row>
    <row r="90" spans="1:2" x14ac:dyDescent="0.25">
      <c r="A90" t="s">
        <v>19</v>
      </c>
      <c r="B90">
        <v>130</v>
      </c>
    </row>
    <row r="91" spans="1:2" x14ac:dyDescent="0.25">
      <c r="A91" t="s">
        <v>162</v>
      </c>
      <c r="B91">
        <v>400</v>
      </c>
    </row>
    <row r="92" spans="1:2" x14ac:dyDescent="0.25">
      <c r="A92" t="s">
        <v>189</v>
      </c>
      <c r="B92">
        <v>400</v>
      </c>
    </row>
    <row r="93" spans="1:2" x14ac:dyDescent="0.25">
      <c r="A93" t="s">
        <v>159</v>
      </c>
      <c r="B93">
        <v>400</v>
      </c>
    </row>
    <row r="94" spans="1:2" x14ac:dyDescent="0.25">
      <c r="A94" t="s">
        <v>43</v>
      </c>
      <c r="B94">
        <v>400</v>
      </c>
    </row>
    <row r="95" spans="1:2" x14ac:dyDescent="0.25">
      <c r="A95" t="s">
        <v>186</v>
      </c>
      <c r="B95">
        <v>400</v>
      </c>
    </row>
    <row r="96" spans="1:2" x14ac:dyDescent="0.25">
      <c r="A96" t="s">
        <v>149</v>
      </c>
      <c r="B96">
        <v>400</v>
      </c>
    </row>
    <row r="97" spans="1:2" x14ac:dyDescent="0.25">
      <c r="A97" t="s">
        <v>22</v>
      </c>
      <c r="B97">
        <v>340</v>
      </c>
    </row>
    <row r="98" spans="1:2" x14ac:dyDescent="0.25">
      <c r="A98" t="s">
        <v>50</v>
      </c>
      <c r="B98">
        <v>237</v>
      </c>
    </row>
    <row r="99" spans="1:2" x14ac:dyDescent="0.25">
      <c r="A99" t="s">
        <v>30</v>
      </c>
      <c r="B99">
        <v>150</v>
      </c>
    </row>
    <row r="100" spans="1:2" x14ac:dyDescent="0.25">
      <c r="A100" t="s">
        <v>25</v>
      </c>
      <c r="B100">
        <v>291</v>
      </c>
    </row>
    <row r="101" spans="1:2" x14ac:dyDescent="0.25">
      <c r="A101" t="s">
        <v>34</v>
      </c>
      <c r="B101">
        <v>80</v>
      </c>
    </row>
    <row r="102" spans="1:2" x14ac:dyDescent="0.25">
      <c r="A102" t="s">
        <v>175</v>
      </c>
      <c r="B102">
        <v>400</v>
      </c>
    </row>
    <row r="103" spans="1:2" x14ac:dyDescent="0.25">
      <c r="A103" t="s">
        <v>135</v>
      </c>
      <c r="B103">
        <v>400</v>
      </c>
    </row>
    <row r="104" spans="1:2" x14ac:dyDescent="0.25">
      <c r="A104" t="s">
        <v>182</v>
      </c>
      <c r="B104">
        <v>150</v>
      </c>
    </row>
    <row r="105" spans="1:2" x14ac:dyDescent="0.25">
      <c r="A105" t="s">
        <v>52</v>
      </c>
      <c r="B105">
        <v>150</v>
      </c>
    </row>
    <row r="106" spans="1:2" x14ac:dyDescent="0.25">
      <c r="A106" t="s">
        <v>79</v>
      </c>
      <c r="B106">
        <v>150</v>
      </c>
    </row>
    <row r="107" spans="1:2" x14ac:dyDescent="0.25">
      <c r="A107" t="s">
        <v>181</v>
      </c>
      <c r="B107">
        <v>350</v>
      </c>
    </row>
    <row r="108" spans="1:2" x14ac:dyDescent="0.25">
      <c r="A108" t="s">
        <v>17</v>
      </c>
      <c r="B108">
        <v>155</v>
      </c>
    </row>
    <row r="109" spans="1:2" x14ac:dyDescent="0.25">
      <c r="A109" t="s">
        <v>121</v>
      </c>
      <c r="B109">
        <v>150</v>
      </c>
    </row>
    <row r="110" spans="1:2" x14ac:dyDescent="0.25">
      <c r="A110" t="s">
        <v>9</v>
      </c>
      <c r="B110">
        <v>230</v>
      </c>
    </row>
    <row r="111" spans="1:2" x14ac:dyDescent="0.25">
      <c r="A111" t="s">
        <v>143</v>
      </c>
      <c r="B111">
        <v>205</v>
      </c>
    </row>
    <row r="112" spans="1:2" x14ac:dyDescent="0.25">
      <c r="A112" t="s">
        <v>106</v>
      </c>
      <c r="B112">
        <v>300</v>
      </c>
    </row>
    <row r="113" spans="1:2" x14ac:dyDescent="0.25">
      <c r="A113" t="s">
        <v>194</v>
      </c>
      <c r="B113">
        <v>300</v>
      </c>
    </row>
    <row r="114" spans="1:2" x14ac:dyDescent="0.25">
      <c r="A114" t="s">
        <v>119</v>
      </c>
      <c r="B114">
        <v>112</v>
      </c>
    </row>
    <row r="115" spans="1:2" x14ac:dyDescent="0.25">
      <c r="A115" t="s">
        <v>200</v>
      </c>
      <c r="B115">
        <v>400</v>
      </c>
    </row>
    <row r="116" spans="1:2" x14ac:dyDescent="0.25">
      <c r="A116" t="s">
        <v>177</v>
      </c>
      <c r="B116">
        <v>400</v>
      </c>
    </row>
    <row r="117" spans="1:2" x14ac:dyDescent="0.25">
      <c r="A117" t="s">
        <v>48</v>
      </c>
      <c r="B117">
        <v>385</v>
      </c>
    </row>
    <row r="118" spans="1:2" x14ac:dyDescent="0.25">
      <c r="A118" t="s">
        <v>86</v>
      </c>
      <c r="B118">
        <v>400</v>
      </c>
    </row>
    <row r="119" spans="1:2" x14ac:dyDescent="0.25">
      <c r="A119" t="s">
        <v>163</v>
      </c>
      <c r="B119">
        <v>400</v>
      </c>
    </row>
    <row r="120" spans="1:2" x14ac:dyDescent="0.25">
      <c r="A120" t="s">
        <v>193</v>
      </c>
      <c r="B120">
        <v>400</v>
      </c>
    </row>
    <row r="121" spans="1:2" x14ac:dyDescent="0.25">
      <c r="A121" t="s">
        <v>160</v>
      </c>
      <c r="B121">
        <v>400</v>
      </c>
    </row>
    <row r="122" spans="1:2" x14ac:dyDescent="0.25">
      <c r="A122" t="s">
        <v>124</v>
      </c>
      <c r="B122">
        <v>400</v>
      </c>
    </row>
    <row r="123" spans="1:2" x14ac:dyDescent="0.25">
      <c r="A123" t="s">
        <v>91</v>
      </c>
      <c r="B123">
        <v>400</v>
      </c>
    </row>
    <row r="124" spans="1:2" x14ac:dyDescent="0.25">
      <c r="A124" t="s">
        <v>132</v>
      </c>
      <c r="B124">
        <v>400</v>
      </c>
    </row>
    <row r="125" spans="1:2" x14ac:dyDescent="0.25">
      <c r="A125" t="s">
        <v>203</v>
      </c>
      <c r="B125">
        <v>400</v>
      </c>
    </row>
    <row r="126" spans="1:2" x14ac:dyDescent="0.25">
      <c r="A126" t="s">
        <v>183</v>
      </c>
      <c r="B126">
        <v>400</v>
      </c>
    </row>
    <row r="127" spans="1:2" x14ac:dyDescent="0.25">
      <c r="A127" t="s">
        <v>122</v>
      </c>
      <c r="B127">
        <v>400</v>
      </c>
    </row>
    <row r="128" spans="1:2" x14ac:dyDescent="0.25">
      <c r="A128" t="s">
        <v>64</v>
      </c>
      <c r="B128">
        <v>336</v>
      </c>
    </row>
    <row r="129" spans="1:2" x14ac:dyDescent="0.25">
      <c r="A129" t="s">
        <v>63</v>
      </c>
      <c r="B129">
        <v>270</v>
      </c>
    </row>
    <row r="130" spans="1:2" x14ac:dyDescent="0.25">
      <c r="A130" t="s">
        <v>204</v>
      </c>
      <c r="B130">
        <v>300</v>
      </c>
    </row>
    <row r="131" spans="1:2" x14ac:dyDescent="0.25">
      <c r="A131" t="s">
        <v>14</v>
      </c>
      <c r="B131">
        <v>190</v>
      </c>
    </row>
    <row r="132" spans="1:2" x14ac:dyDescent="0.25">
      <c r="A132" t="s">
        <v>180</v>
      </c>
      <c r="B132">
        <v>331</v>
      </c>
    </row>
    <row r="133" spans="1:2" x14ac:dyDescent="0.25">
      <c r="A133" t="s">
        <v>136</v>
      </c>
      <c r="B133">
        <v>150</v>
      </c>
    </row>
    <row r="134" spans="1:2" x14ac:dyDescent="0.25">
      <c r="A134" t="s">
        <v>58</v>
      </c>
      <c r="B134">
        <v>150</v>
      </c>
    </row>
    <row r="135" spans="1:2" x14ac:dyDescent="0.25">
      <c r="A135" t="s">
        <v>109</v>
      </c>
      <c r="B135">
        <v>400</v>
      </c>
    </row>
    <row r="136" spans="1:2" x14ac:dyDescent="0.25">
      <c r="A136" t="s">
        <v>60</v>
      </c>
      <c r="B136">
        <v>400</v>
      </c>
    </row>
    <row r="137" spans="1:2" x14ac:dyDescent="0.25">
      <c r="A137" t="s">
        <v>128</v>
      </c>
      <c r="B137">
        <v>205</v>
      </c>
    </row>
    <row r="138" spans="1:2" x14ac:dyDescent="0.25">
      <c r="A138" t="s">
        <v>213</v>
      </c>
      <c r="B138">
        <v>153</v>
      </c>
    </row>
    <row r="139" spans="1:2" x14ac:dyDescent="0.25">
      <c r="A139" t="s">
        <v>152</v>
      </c>
      <c r="B139">
        <v>153</v>
      </c>
    </row>
    <row r="140" spans="1:2" x14ac:dyDescent="0.25">
      <c r="A140" t="s">
        <v>126</v>
      </c>
      <c r="B140">
        <v>153</v>
      </c>
    </row>
    <row r="141" spans="1:2" x14ac:dyDescent="0.25">
      <c r="A141" t="s">
        <v>141</v>
      </c>
      <c r="B141">
        <v>385</v>
      </c>
    </row>
    <row r="142" spans="1:2" x14ac:dyDescent="0.25">
      <c r="A142" t="s">
        <v>83</v>
      </c>
      <c r="B142">
        <v>336</v>
      </c>
    </row>
    <row r="143" spans="1:2" x14ac:dyDescent="0.25">
      <c r="A143" t="s">
        <v>10</v>
      </c>
      <c r="B143">
        <v>190</v>
      </c>
    </row>
    <row r="144" spans="1:2" x14ac:dyDescent="0.25">
      <c r="A144" t="s">
        <v>113</v>
      </c>
      <c r="B144">
        <v>188</v>
      </c>
    </row>
    <row r="145" spans="1:2" x14ac:dyDescent="0.25">
      <c r="A145" t="s">
        <v>24</v>
      </c>
      <c r="B145">
        <v>170</v>
      </c>
    </row>
    <row r="146" spans="1:2" x14ac:dyDescent="0.25">
      <c r="A146" t="s">
        <v>146</v>
      </c>
      <c r="B146">
        <v>170</v>
      </c>
    </row>
    <row r="147" spans="1:2" x14ac:dyDescent="0.25">
      <c r="A147" t="s">
        <v>127</v>
      </c>
      <c r="B147">
        <v>400</v>
      </c>
    </row>
    <row r="148" spans="1:2" x14ac:dyDescent="0.25">
      <c r="A148" t="s">
        <v>174</v>
      </c>
      <c r="B148">
        <v>400</v>
      </c>
    </row>
    <row r="149" spans="1:2" x14ac:dyDescent="0.25">
      <c r="A149" t="s">
        <v>21</v>
      </c>
      <c r="B149">
        <v>400</v>
      </c>
    </row>
    <row r="150" spans="1:2" x14ac:dyDescent="0.25">
      <c r="A150" t="s">
        <v>130</v>
      </c>
      <c r="B150">
        <v>350</v>
      </c>
    </row>
    <row r="151" spans="1:2" x14ac:dyDescent="0.25">
      <c r="A151" t="s">
        <v>29</v>
      </c>
      <c r="B151">
        <v>293</v>
      </c>
    </row>
    <row r="152" spans="1:2" x14ac:dyDescent="0.25">
      <c r="A152" t="s">
        <v>57</v>
      </c>
      <c r="B152">
        <v>173</v>
      </c>
    </row>
    <row r="153" spans="1:2" x14ac:dyDescent="0.25">
      <c r="A153" t="s">
        <v>207</v>
      </c>
      <c r="B153">
        <v>200</v>
      </c>
    </row>
    <row r="154" spans="1:2" x14ac:dyDescent="0.25">
      <c r="A154" t="s">
        <v>112</v>
      </c>
      <c r="B154">
        <v>170</v>
      </c>
    </row>
    <row r="155" spans="1:2" x14ac:dyDescent="0.25">
      <c r="A155" t="s">
        <v>77</v>
      </c>
      <c r="B155">
        <v>385</v>
      </c>
    </row>
    <row r="156" spans="1:2" x14ac:dyDescent="0.25">
      <c r="A156" t="s">
        <v>151</v>
      </c>
      <c r="B156">
        <v>336</v>
      </c>
    </row>
    <row r="157" spans="1:2" x14ac:dyDescent="0.25">
      <c r="A157" t="s">
        <v>76</v>
      </c>
      <c r="B157">
        <v>336</v>
      </c>
    </row>
    <row r="158" spans="1:2" x14ac:dyDescent="0.25">
      <c r="A158" t="s">
        <v>123</v>
      </c>
      <c r="B158">
        <v>385</v>
      </c>
    </row>
    <row r="159" spans="1:2" x14ac:dyDescent="0.25">
      <c r="A159" t="s">
        <v>56</v>
      </c>
      <c r="B159">
        <v>385</v>
      </c>
    </row>
    <row r="160" spans="1:2" x14ac:dyDescent="0.25">
      <c r="A160" t="s">
        <v>49</v>
      </c>
      <c r="B160">
        <v>190</v>
      </c>
    </row>
    <row r="161" spans="1:2" x14ac:dyDescent="0.25">
      <c r="A161" t="s">
        <v>36</v>
      </c>
      <c r="B161">
        <v>190</v>
      </c>
    </row>
    <row r="162" spans="1:2" x14ac:dyDescent="0.25">
      <c r="A162" t="s">
        <v>140</v>
      </c>
      <c r="B162">
        <v>400</v>
      </c>
    </row>
    <row r="163" spans="1:2" x14ac:dyDescent="0.25">
      <c r="A163" t="s">
        <v>184</v>
      </c>
      <c r="B163">
        <v>260</v>
      </c>
    </row>
    <row r="164" spans="1:2" x14ac:dyDescent="0.25">
      <c r="A164" t="s">
        <v>169</v>
      </c>
      <c r="B164">
        <v>300</v>
      </c>
    </row>
    <row r="165" spans="1:2" x14ac:dyDescent="0.25">
      <c r="A165" t="s">
        <v>188</v>
      </c>
      <c r="B165">
        <v>300</v>
      </c>
    </row>
    <row r="166" spans="1:2" x14ac:dyDescent="0.25">
      <c r="A166" t="s">
        <v>161</v>
      </c>
      <c r="B166">
        <v>260</v>
      </c>
    </row>
    <row r="167" spans="1:2" x14ac:dyDescent="0.25">
      <c r="A167" t="s">
        <v>110</v>
      </c>
      <c r="B167">
        <v>148</v>
      </c>
    </row>
    <row r="168" spans="1:2" x14ac:dyDescent="0.25">
      <c r="A168" t="s">
        <v>33</v>
      </c>
      <c r="B168">
        <v>224</v>
      </c>
    </row>
    <row r="169" spans="1:2" x14ac:dyDescent="0.25">
      <c r="A169" t="s">
        <v>85</v>
      </c>
      <c r="B169">
        <v>260</v>
      </c>
    </row>
    <row r="170" spans="1:2" x14ac:dyDescent="0.25">
      <c r="A170" t="s">
        <v>148</v>
      </c>
      <c r="B170">
        <v>300</v>
      </c>
    </row>
    <row r="171" spans="1:2" x14ac:dyDescent="0.25">
      <c r="A171" t="s">
        <v>67</v>
      </c>
      <c r="B171">
        <v>148</v>
      </c>
    </row>
    <row r="172" spans="1:2" x14ac:dyDescent="0.25">
      <c r="A172" t="s">
        <v>155</v>
      </c>
      <c r="B172">
        <v>150</v>
      </c>
    </row>
    <row r="173" spans="1:2" x14ac:dyDescent="0.25">
      <c r="A173" t="s">
        <v>37</v>
      </c>
      <c r="B173">
        <v>153</v>
      </c>
    </row>
    <row r="174" spans="1:2" x14ac:dyDescent="0.25">
      <c r="A174" t="s">
        <v>125</v>
      </c>
      <c r="B174">
        <v>385</v>
      </c>
    </row>
    <row r="175" spans="1:2" x14ac:dyDescent="0.25">
      <c r="A175" t="s">
        <v>66</v>
      </c>
      <c r="B175">
        <v>200</v>
      </c>
    </row>
    <row r="176" spans="1:2" x14ac:dyDescent="0.25">
      <c r="A176" t="s">
        <v>88</v>
      </c>
      <c r="B176">
        <v>400</v>
      </c>
    </row>
    <row r="177" spans="1:2" x14ac:dyDescent="0.25">
      <c r="A177" t="s">
        <v>158</v>
      </c>
      <c r="B177">
        <v>130</v>
      </c>
    </row>
    <row r="178" spans="1:2" x14ac:dyDescent="0.25">
      <c r="A178" t="s">
        <v>153</v>
      </c>
      <c r="B178">
        <v>200</v>
      </c>
    </row>
    <row r="179" spans="1:2" x14ac:dyDescent="0.25">
      <c r="A179" t="s">
        <v>38</v>
      </c>
      <c r="B179">
        <v>150</v>
      </c>
    </row>
    <row r="180" spans="1:2" x14ac:dyDescent="0.25">
      <c r="A180" t="s">
        <v>32</v>
      </c>
      <c r="B180">
        <v>78</v>
      </c>
    </row>
    <row r="181" spans="1:2" x14ac:dyDescent="0.25">
      <c r="A181" t="s">
        <v>211</v>
      </c>
      <c r="B181">
        <v>150</v>
      </c>
    </row>
    <row r="182" spans="1:2" x14ac:dyDescent="0.25">
      <c r="A182" t="s">
        <v>13</v>
      </c>
      <c r="B182">
        <v>140</v>
      </c>
    </row>
    <row r="183" spans="1:2" x14ac:dyDescent="0.25">
      <c r="A183" t="s">
        <v>120</v>
      </c>
      <c r="B183">
        <v>385</v>
      </c>
    </row>
    <row r="184" spans="1:2" x14ac:dyDescent="0.25">
      <c r="A184" t="s">
        <v>84</v>
      </c>
      <c r="B184">
        <v>150</v>
      </c>
    </row>
    <row r="185" spans="1:2" x14ac:dyDescent="0.25">
      <c r="A185" t="s">
        <v>196</v>
      </c>
      <c r="B185">
        <v>400</v>
      </c>
    </row>
    <row r="186" spans="1:2" x14ac:dyDescent="0.25">
      <c r="A186" t="s">
        <v>195</v>
      </c>
      <c r="B186">
        <v>190</v>
      </c>
    </row>
  </sheetData>
  <autoFilter ref="A1:B186">
    <sortState ref="A2:B186">
      <sortCondition ref="A1:A127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AylikTablo</vt:lpstr>
      <vt:lpstr>Data</vt:lpstr>
      <vt:lpstr>Kaloriler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Doğuş, İbrahim</dc:creator>
  <dc:description/>
  <cp:lastModifiedBy>İbrahim DOĞUŞ</cp:lastModifiedBy>
  <cp:revision>2</cp:revision>
  <dcterms:created xsi:type="dcterms:W3CDTF">2006-09-26T09:04:32Z</dcterms:created>
  <dcterms:modified xsi:type="dcterms:W3CDTF">2019-02-15T05:54:55Z</dcterms:modified>
  <dc:language>tr-TR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